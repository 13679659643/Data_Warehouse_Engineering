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gutao\辜涛\杭州博耶数据科技有限公司\"/>
    </mc:Choice>
  </mc:AlternateContent>
  <xr:revisionPtr revIDLastSave="0" documentId="13_ncr:1_{D8B5D124-49CE-40E9-99A3-E0B23C3D3F22}" xr6:coauthVersionLast="36" xr6:coauthVersionMax="36" xr10:uidLastSave="{00000000-0000-0000-0000-000000000000}"/>
  <bookViews>
    <workbookView xWindow="0" yWindow="0" windowWidth="25200" windowHeight="11810" xr2:uid="{00000000-000D-0000-FFFF-FFFF00000000}"/>
  </bookViews>
  <sheets>
    <sheet name="销售计划（销售后）" sheetId="7" r:id="rId1"/>
  </sheets>
  <externalReferences>
    <externalReference r:id="rId2"/>
  </externalReferences>
  <definedNames>
    <definedName name="_xlnm._FilterDatabase" localSheetId="0" hidden="1">'销售计划（销售后）'!$A$1:$GM$18</definedName>
  </definedNames>
  <calcPr calcId="191029"/>
</workbook>
</file>

<file path=xl/calcChain.xml><?xml version="1.0" encoding="utf-8"?>
<calcChain xmlns="http://schemas.openxmlformats.org/spreadsheetml/2006/main">
  <c r="P18" i="7" l="1"/>
  <c r="N18" i="7" a="1"/>
  <c r="M18" i="7"/>
  <c r="J18" i="7"/>
  <c r="H18" i="7"/>
  <c r="E18" i="7"/>
  <c r="C18" i="7"/>
  <c r="GK18" i="7" s="1"/>
  <c r="P17" i="7"/>
  <c r="N17" i="7" a="1"/>
  <c r="M17" i="7"/>
  <c r="J17" i="7"/>
  <c r="H17" i="7"/>
  <c r="E17" i="7"/>
  <c r="C17" i="7"/>
  <c r="FM17" i="7" s="1"/>
  <c r="P16" i="7"/>
  <c r="N16" i="7" a="1"/>
  <c r="M16" i="7"/>
  <c r="J16" i="7"/>
  <c r="H16" i="7"/>
  <c r="E16" i="7"/>
  <c r="C16" i="7"/>
  <c r="P15" i="7"/>
  <c r="N15" i="7" a="1"/>
  <c r="M15" i="7"/>
  <c r="J15" i="7"/>
  <c r="H15" i="7"/>
  <c r="G15" i="7"/>
  <c r="E15" i="7"/>
  <c r="D15" i="7" a="1"/>
  <c r="D15" i="7"/>
  <c r="C15" i="7"/>
  <c r="CL15" i="7" s="1"/>
  <c r="P14" i="7"/>
  <c r="N14" i="7" a="1"/>
  <c r="M14" i="7"/>
  <c r="J14" i="7"/>
  <c r="H14" i="7"/>
  <c r="G14" i="7"/>
  <c r="E14" i="7"/>
  <c r="D14" i="7" a="1"/>
  <c r="D14" i="7"/>
  <c r="C14" i="7"/>
  <c r="GA14" i="7" s="1"/>
  <c r="P13" i="7"/>
  <c r="N13" i="7" a="1"/>
  <c r="M13" i="7"/>
  <c r="J13" i="7"/>
  <c r="H13" i="7"/>
  <c r="G13" i="7"/>
  <c r="E13" i="7"/>
  <c r="D13" i="7" a="1"/>
  <c r="D13" i="7"/>
  <c r="C13" i="7"/>
  <c r="N12" i="7" a="1"/>
  <c r="M12" i="7"/>
  <c r="J12" i="7"/>
  <c r="H12" i="7"/>
  <c r="G12" i="7"/>
  <c r="E12" i="7"/>
  <c r="D12" i="7" a="1"/>
  <c r="D12" i="7"/>
  <c r="C12" i="7"/>
  <c r="GM11" i="7"/>
  <c r="GL11" i="7"/>
  <c r="GK11" i="7"/>
  <c r="GJ11" i="7"/>
  <c r="GI11" i="7"/>
  <c r="GH11" i="7"/>
  <c r="GG11" i="7"/>
  <c r="GF11" i="7"/>
  <c r="GE11" i="7"/>
  <c r="GD11" i="7"/>
  <c r="GC11" i="7"/>
  <c r="GB11" i="7"/>
  <c r="GA11" i="7"/>
  <c r="FZ11" i="7"/>
  <c r="FY11" i="7"/>
  <c r="FX11" i="7"/>
  <c r="FW11" i="7"/>
  <c r="FV11" i="7"/>
  <c r="FU11" i="7"/>
  <c r="FT11" i="7"/>
  <c r="FS11" i="7"/>
  <c r="FR11" i="7"/>
  <c r="FQ11" i="7"/>
  <c r="FP11" i="7"/>
  <c r="FO11" i="7"/>
  <c r="FN11" i="7"/>
  <c r="FM11" i="7"/>
  <c r="FL11" i="7"/>
  <c r="FK11" i="7"/>
  <c r="FJ11" i="7"/>
  <c r="FI11" i="7"/>
  <c r="FH11" i="7"/>
  <c r="FG11" i="7"/>
  <c r="FF11" i="7"/>
  <c r="FE11" i="7"/>
  <c r="FD11" i="7"/>
  <c r="FC11" i="7"/>
  <c r="FB11" i="7"/>
  <c r="FA11" i="7"/>
  <c r="EZ11" i="7"/>
  <c r="EY11" i="7"/>
  <c r="EX11" i="7"/>
  <c r="EW11" i="7"/>
  <c r="EV11" i="7"/>
  <c r="EU11" i="7"/>
  <c r="ET11" i="7"/>
  <c r="ES11" i="7"/>
  <c r="ER11" i="7"/>
  <c r="EQ11" i="7"/>
  <c r="EP11" i="7"/>
  <c r="EO11" i="7"/>
  <c r="EN11" i="7"/>
  <c r="EM11" i="7"/>
  <c r="EL11" i="7"/>
  <c r="EK11" i="7"/>
  <c r="EJ11" i="7"/>
  <c r="EI11" i="7"/>
  <c r="EH11" i="7"/>
  <c r="EG11" i="7"/>
  <c r="EF11" i="7"/>
  <c r="EE11" i="7"/>
  <c r="ED11" i="7"/>
  <c r="EC11" i="7"/>
  <c r="EB11" i="7"/>
  <c r="EA11" i="7"/>
  <c r="DZ11" i="7"/>
  <c r="DY11" i="7"/>
  <c r="DX11" i="7"/>
  <c r="DW11" i="7"/>
  <c r="DV11" i="7"/>
  <c r="DU11" i="7"/>
  <c r="DT11" i="7"/>
  <c r="DS11" i="7"/>
  <c r="DR11" i="7"/>
  <c r="DQ11" i="7"/>
  <c r="DP11" i="7"/>
  <c r="DO11" i="7"/>
  <c r="DN11" i="7"/>
  <c r="DM11" i="7"/>
  <c r="DL11" i="7"/>
  <c r="DK11" i="7"/>
  <c r="DJ11" i="7"/>
  <c r="DI11" i="7"/>
  <c r="DH11" i="7"/>
  <c r="DG11" i="7"/>
  <c r="DF11" i="7"/>
  <c r="DE11" i="7"/>
  <c r="DD11" i="7"/>
  <c r="DC11" i="7"/>
  <c r="DB11" i="7"/>
  <c r="DA11" i="7"/>
  <c r="CZ11" i="7"/>
  <c r="CY11" i="7"/>
  <c r="CX11" i="7"/>
  <c r="CW11" i="7"/>
  <c r="CV11" i="7"/>
  <c r="CU11" i="7"/>
  <c r="CT11" i="7"/>
  <c r="CS11" i="7"/>
  <c r="CR11" i="7"/>
  <c r="CQ11" i="7"/>
  <c r="CP11" i="7"/>
  <c r="CO11" i="7"/>
  <c r="CN11" i="7"/>
  <c r="CM11" i="7"/>
  <c r="CL11" i="7"/>
  <c r="CK11" i="7"/>
  <c r="CJ11" i="7"/>
  <c r="CI11" i="7"/>
  <c r="CH11" i="7"/>
  <c r="CG11" i="7"/>
  <c r="CF11" i="7"/>
  <c r="CE11" i="7"/>
  <c r="CD11" i="7"/>
  <c r="CC11" i="7"/>
  <c r="CB11" i="7"/>
  <c r="CA11" i="7"/>
  <c r="BZ11" i="7"/>
  <c r="BY11" i="7"/>
  <c r="BX11" i="7"/>
  <c r="BW11" i="7"/>
  <c r="BV11" i="7"/>
  <c r="BU11" i="7"/>
  <c r="BT11" i="7"/>
  <c r="BS11" i="7"/>
  <c r="BR11" i="7"/>
  <c r="BQ11" i="7"/>
  <c r="BP11" i="7"/>
  <c r="BO11" i="7"/>
  <c r="BN11" i="7"/>
  <c r="BM11" i="7"/>
  <c r="BL11" i="7"/>
  <c r="BK11" i="7"/>
  <c r="BJ11" i="7"/>
  <c r="BI11" i="7"/>
  <c r="BH11" i="7"/>
  <c r="BG11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N11" i="7" a="1"/>
  <c r="M11" i="7"/>
  <c r="J11" i="7"/>
  <c r="H11" i="7"/>
  <c r="G11" i="7"/>
  <c r="E11" i="7"/>
  <c r="D11" i="7" a="1"/>
  <c r="D11" i="7"/>
  <c r="C11" i="7"/>
  <c r="N11" i="7" s="1"/>
  <c r="P10" i="7"/>
  <c r="J10" i="7"/>
  <c r="H10" i="7"/>
  <c r="G10" i="7"/>
  <c r="E10" i="7"/>
  <c r="D10" i="7" a="1"/>
  <c r="D10" i="7"/>
  <c r="C10" i="7"/>
  <c r="N9" i="7" a="1"/>
  <c r="M9" i="7"/>
  <c r="J9" i="7"/>
  <c r="H9" i="7"/>
  <c r="G9" i="7"/>
  <c r="E9" i="7"/>
  <c r="D9" i="7" a="1"/>
  <c r="D9" i="7"/>
  <c r="C9" i="7"/>
  <c r="GM8" i="7"/>
  <c r="GL8" i="7"/>
  <c r="GK8" i="7"/>
  <c r="GJ8" i="7"/>
  <c r="GI8" i="7"/>
  <c r="GH8" i="7"/>
  <c r="GG8" i="7"/>
  <c r="GF8" i="7"/>
  <c r="GE8" i="7"/>
  <c r="GD8" i="7"/>
  <c r="GC8" i="7"/>
  <c r="GB8" i="7"/>
  <c r="GA8" i="7"/>
  <c r="FZ8" i="7"/>
  <c r="FY8" i="7"/>
  <c r="FX8" i="7"/>
  <c r="FW8" i="7"/>
  <c r="FV8" i="7"/>
  <c r="FU8" i="7"/>
  <c r="FT8" i="7"/>
  <c r="FS8" i="7"/>
  <c r="FR8" i="7"/>
  <c r="FQ8" i="7"/>
  <c r="FP8" i="7"/>
  <c r="FO8" i="7"/>
  <c r="FN8" i="7"/>
  <c r="FM8" i="7"/>
  <c r="FL8" i="7"/>
  <c r="FK8" i="7"/>
  <c r="FJ8" i="7"/>
  <c r="FI8" i="7"/>
  <c r="FH8" i="7"/>
  <c r="FG8" i="7"/>
  <c r="FF8" i="7"/>
  <c r="FE8" i="7"/>
  <c r="FD8" i="7"/>
  <c r="FC8" i="7"/>
  <c r="FB8" i="7"/>
  <c r="FA8" i="7"/>
  <c r="EZ8" i="7"/>
  <c r="EY8" i="7"/>
  <c r="EX8" i="7"/>
  <c r="EW8" i="7"/>
  <c r="EV8" i="7"/>
  <c r="EU8" i="7"/>
  <c r="ET8" i="7"/>
  <c r="ES8" i="7"/>
  <c r="ER8" i="7"/>
  <c r="EQ8" i="7"/>
  <c r="EP8" i="7"/>
  <c r="EO8" i="7"/>
  <c r="EN8" i="7"/>
  <c r="EM8" i="7"/>
  <c r="EL8" i="7"/>
  <c r="EK8" i="7"/>
  <c r="EJ8" i="7"/>
  <c r="EI8" i="7"/>
  <c r="EH8" i="7"/>
  <c r="EG8" i="7"/>
  <c r="EF8" i="7"/>
  <c r="EE8" i="7"/>
  <c r="ED8" i="7"/>
  <c r="EC8" i="7"/>
  <c r="EB8" i="7"/>
  <c r="EA8" i="7"/>
  <c r="DZ8" i="7"/>
  <c r="DY8" i="7"/>
  <c r="DX8" i="7"/>
  <c r="DW8" i="7"/>
  <c r="DV8" i="7"/>
  <c r="DU8" i="7"/>
  <c r="DT8" i="7"/>
  <c r="DS8" i="7"/>
  <c r="DR8" i="7"/>
  <c r="DQ8" i="7"/>
  <c r="DP8" i="7"/>
  <c r="DO8" i="7"/>
  <c r="DN8" i="7"/>
  <c r="DM8" i="7"/>
  <c r="DL8" i="7"/>
  <c r="DK8" i="7"/>
  <c r="DJ8" i="7"/>
  <c r="DI8" i="7"/>
  <c r="DH8" i="7"/>
  <c r="DG8" i="7"/>
  <c r="DF8" i="7"/>
  <c r="DE8" i="7"/>
  <c r="DD8" i="7"/>
  <c r="DC8" i="7"/>
  <c r="DB8" i="7"/>
  <c r="DA8" i="7"/>
  <c r="CZ8" i="7"/>
  <c r="CY8" i="7"/>
  <c r="CX8" i="7"/>
  <c r="CW8" i="7"/>
  <c r="CV8" i="7"/>
  <c r="CU8" i="7"/>
  <c r="CT8" i="7"/>
  <c r="CS8" i="7"/>
  <c r="CR8" i="7"/>
  <c r="CQ8" i="7"/>
  <c r="CP8" i="7"/>
  <c r="CO8" i="7"/>
  <c r="CN8" i="7"/>
  <c r="CM8" i="7"/>
  <c r="CL8" i="7"/>
  <c r="CK8" i="7"/>
  <c r="CJ8" i="7"/>
  <c r="CI8" i="7"/>
  <c r="CH8" i="7"/>
  <c r="CG8" i="7"/>
  <c r="CF8" i="7"/>
  <c r="CE8" i="7"/>
  <c r="CD8" i="7"/>
  <c r="CC8" i="7"/>
  <c r="CB8" i="7"/>
  <c r="CA8" i="7"/>
  <c r="BZ8" i="7"/>
  <c r="BY8" i="7"/>
  <c r="BX8" i="7"/>
  <c r="BW8" i="7"/>
  <c r="BV8" i="7"/>
  <c r="BU8" i="7"/>
  <c r="BT8" i="7"/>
  <c r="BS8" i="7"/>
  <c r="BR8" i="7"/>
  <c r="BQ8" i="7"/>
  <c r="BP8" i="7"/>
  <c r="BO8" i="7"/>
  <c r="BN8" i="7"/>
  <c r="BM8" i="7"/>
  <c r="BL8" i="7"/>
  <c r="BK8" i="7"/>
  <c r="BJ8" i="7"/>
  <c r="BI8" i="7"/>
  <c r="BH8" i="7"/>
  <c r="BG8" i="7"/>
  <c r="BF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J8" i="7"/>
  <c r="H8" i="7"/>
  <c r="G8" i="7"/>
  <c r="E8" i="7"/>
  <c r="D8" i="7" a="1"/>
  <c r="D8" i="7"/>
  <c r="C8" i="7"/>
  <c r="P7" i="7"/>
  <c r="N7" i="7" a="1"/>
  <c r="M7" i="7"/>
  <c r="J7" i="7"/>
  <c r="H7" i="7"/>
  <c r="G7" i="7"/>
  <c r="E7" i="7"/>
  <c r="D7" i="7" a="1"/>
  <c r="D7" i="7"/>
  <c r="C7" i="7"/>
  <c r="N6" i="7" a="1"/>
  <c r="M6" i="7"/>
  <c r="J6" i="7"/>
  <c r="H6" i="7"/>
  <c r="G6" i="7"/>
  <c r="E6" i="7"/>
  <c r="D6" i="7" a="1"/>
  <c r="D6" i="7"/>
  <c r="C6" i="7"/>
  <c r="GM5" i="7"/>
  <c r="GL5" i="7"/>
  <c r="GK5" i="7"/>
  <c r="GJ5" i="7"/>
  <c r="GI5" i="7"/>
  <c r="GH5" i="7"/>
  <c r="GG5" i="7"/>
  <c r="GF5" i="7"/>
  <c r="GE5" i="7"/>
  <c r="GD5" i="7"/>
  <c r="GC5" i="7"/>
  <c r="GB5" i="7"/>
  <c r="GA5" i="7"/>
  <c r="FZ5" i="7"/>
  <c r="FY5" i="7"/>
  <c r="FX5" i="7"/>
  <c r="FW5" i="7"/>
  <c r="FV5" i="7"/>
  <c r="FU5" i="7"/>
  <c r="FT5" i="7"/>
  <c r="FS5" i="7"/>
  <c r="FR5" i="7"/>
  <c r="FQ5" i="7"/>
  <c r="FP5" i="7"/>
  <c r="FO5" i="7"/>
  <c r="FN5" i="7"/>
  <c r="FM5" i="7"/>
  <c r="FL5" i="7"/>
  <c r="FK5" i="7"/>
  <c r="FJ5" i="7"/>
  <c r="FI5" i="7"/>
  <c r="FH5" i="7"/>
  <c r="FG5" i="7"/>
  <c r="FF5" i="7"/>
  <c r="FE5" i="7"/>
  <c r="FD5" i="7"/>
  <c r="FC5" i="7"/>
  <c r="FB5" i="7"/>
  <c r="FA5" i="7"/>
  <c r="EZ5" i="7"/>
  <c r="EY5" i="7"/>
  <c r="EX5" i="7"/>
  <c r="EW5" i="7"/>
  <c r="EV5" i="7"/>
  <c r="EU5" i="7"/>
  <c r="ET5" i="7"/>
  <c r="ES5" i="7"/>
  <c r="ER5" i="7"/>
  <c r="EQ5" i="7"/>
  <c r="EP5" i="7"/>
  <c r="EO5" i="7"/>
  <c r="EN5" i="7"/>
  <c r="EM5" i="7"/>
  <c r="EL5" i="7"/>
  <c r="EK5" i="7"/>
  <c r="EJ5" i="7"/>
  <c r="EI5" i="7"/>
  <c r="EH5" i="7"/>
  <c r="EG5" i="7"/>
  <c r="EF5" i="7"/>
  <c r="EE5" i="7"/>
  <c r="ED5" i="7"/>
  <c r="EC5" i="7"/>
  <c r="EB5" i="7"/>
  <c r="EA5" i="7"/>
  <c r="DZ5" i="7"/>
  <c r="DY5" i="7"/>
  <c r="DX5" i="7"/>
  <c r="DW5" i="7"/>
  <c r="DV5" i="7"/>
  <c r="DU5" i="7"/>
  <c r="DT5" i="7"/>
  <c r="DS5" i="7"/>
  <c r="DR5" i="7"/>
  <c r="DQ5" i="7"/>
  <c r="DP5" i="7"/>
  <c r="DO5" i="7"/>
  <c r="DN5" i="7"/>
  <c r="DM5" i="7"/>
  <c r="DL5" i="7"/>
  <c r="DK5" i="7"/>
  <c r="DJ5" i="7"/>
  <c r="DI5" i="7"/>
  <c r="DH5" i="7"/>
  <c r="DG5" i="7"/>
  <c r="DF5" i="7"/>
  <c r="DE5" i="7"/>
  <c r="DD5" i="7"/>
  <c r="DC5" i="7"/>
  <c r="DB5" i="7"/>
  <c r="DA5" i="7"/>
  <c r="CZ5" i="7"/>
  <c r="CY5" i="7"/>
  <c r="CX5" i="7"/>
  <c r="CW5" i="7"/>
  <c r="CV5" i="7"/>
  <c r="CU5" i="7"/>
  <c r="CT5" i="7"/>
  <c r="CS5" i="7"/>
  <c r="CR5" i="7"/>
  <c r="CQ5" i="7"/>
  <c r="CP5" i="7"/>
  <c r="CO5" i="7"/>
  <c r="CN5" i="7"/>
  <c r="CM5" i="7"/>
  <c r="CL5" i="7"/>
  <c r="CK5" i="7"/>
  <c r="CJ5" i="7"/>
  <c r="CI5" i="7"/>
  <c r="CH5" i="7"/>
  <c r="CG5" i="7"/>
  <c r="CF5" i="7"/>
  <c r="CE5" i="7"/>
  <c r="CD5" i="7"/>
  <c r="CC5" i="7"/>
  <c r="CB5" i="7"/>
  <c r="CA5" i="7"/>
  <c r="BZ5" i="7"/>
  <c r="BY5" i="7"/>
  <c r="BX5" i="7"/>
  <c r="BW5" i="7"/>
  <c r="BV5" i="7"/>
  <c r="BU5" i="7"/>
  <c r="BT5" i="7"/>
  <c r="BS5" i="7"/>
  <c r="BR5" i="7"/>
  <c r="BQ5" i="7"/>
  <c r="BP5" i="7"/>
  <c r="BO5" i="7"/>
  <c r="BN5" i="7"/>
  <c r="BM5" i="7"/>
  <c r="BL5" i="7"/>
  <c r="BK5" i="7"/>
  <c r="BJ5" i="7"/>
  <c r="BI5" i="7"/>
  <c r="BH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N5" i="7" a="1"/>
  <c r="M5" i="7"/>
  <c r="J5" i="7"/>
  <c r="H5" i="7"/>
  <c r="G5" i="7"/>
  <c r="E5" i="7"/>
  <c r="D5" i="7" a="1"/>
  <c r="D5" i="7"/>
  <c r="C5" i="7"/>
  <c r="N5" i="7" s="1"/>
  <c r="GI16" i="7" l="1"/>
  <c r="FT16" i="7"/>
  <c r="DF16" i="7"/>
  <c r="CT16" i="7"/>
  <c r="CS16" i="7"/>
  <c r="CR16" i="7"/>
  <c r="BY14" i="7"/>
  <c r="T16" i="7"/>
  <c r="BV14" i="7"/>
  <c r="CC16" i="7"/>
  <c r="CO16" i="7"/>
  <c r="V16" i="7"/>
  <c r="DV16" i="7"/>
  <c r="DP15" i="7"/>
  <c r="BH16" i="7"/>
  <c r="FF16" i="7"/>
  <c r="BE17" i="7"/>
  <c r="BY16" i="7"/>
  <c r="FN16" i="7"/>
  <c r="GD17" i="7"/>
  <c r="CB16" i="7"/>
  <c r="FO16" i="7"/>
  <c r="W16" i="7"/>
  <c r="EQ16" i="7"/>
  <c r="AA17" i="7"/>
  <c r="AB16" i="7"/>
  <c r="EW16" i="7"/>
  <c r="AI17" i="7"/>
  <c r="AL16" i="7"/>
  <c r="EZ16" i="7"/>
  <c r="AJ17" i="7"/>
  <c r="U16" i="7"/>
  <c r="DI16" i="7"/>
  <c r="AS16" i="7"/>
  <c r="FA16" i="7"/>
  <c r="AX17" i="7"/>
  <c r="DI15" i="7"/>
  <c r="AZ16" i="7"/>
  <c r="FE16" i="7"/>
  <c r="BB17" i="7"/>
  <c r="CA14" i="7"/>
  <c r="BZ14" i="7"/>
  <c r="EH14" i="7"/>
  <c r="EO14" i="7"/>
  <c r="EP14" i="7"/>
  <c r="BC16" i="7"/>
  <c r="DJ16" i="7"/>
  <c r="FU16" i="7"/>
  <c r="BV17" i="7"/>
  <c r="DF18" i="7"/>
  <c r="FB14" i="7"/>
  <c r="BE16" i="7"/>
  <c r="DK16" i="7"/>
  <c r="GE16" i="7"/>
  <c r="CB17" i="7"/>
  <c r="DH18" i="7"/>
  <c r="N14" i="7"/>
  <c r="FI14" i="7"/>
  <c r="BF16" i="7"/>
  <c r="DT16" i="7"/>
  <c r="GL16" i="7"/>
  <c r="DP17" i="7"/>
  <c r="DI18" i="7"/>
  <c r="DY14" i="7"/>
  <c r="BJ16" i="7"/>
  <c r="DW16" i="7"/>
  <c r="EB17" i="7"/>
  <c r="AC14" i="7"/>
  <c r="BW16" i="7"/>
  <c r="DX16" i="7"/>
  <c r="EE17" i="7"/>
  <c r="DG14" i="7"/>
  <c r="GB14" i="7"/>
  <c r="DX17" i="7"/>
  <c r="BE14" i="7"/>
  <c r="EH17" i="7"/>
  <c r="BU14" i="7"/>
  <c r="S16" i="7"/>
  <c r="CA16" i="7"/>
  <c r="ER16" i="7"/>
  <c r="R14" i="7"/>
  <c r="CD14" i="7"/>
  <c r="FQ14" i="7"/>
  <c r="BC15" i="7"/>
  <c r="X14" i="7"/>
  <c r="CW14" i="7"/>
  <c r="FR14" i="7"/>
  <c r="BZ15" i="7"/>
  <c r="GG18" i="7"/>
  <c r="AZ18" i="7"/>
  <c r="AT18" i="7"/>
  <c r="AJ18" i="7"/>
  <c r="Q14" i="7"/>
  <c r="CC14" i="7"/>
  <c r="FN14" i="7"/>
  <c r="AR15" i="7"/>
  <c r="Z14" i="7"/>
  <c r="CX14" i="7"/>
  <c r="GD14" i="7"/>
  <c r="ES14" i="7"/>
  <c r="DF14" i="7"/>
  <c r="BI14" i="7"/>
  <c r="W14" i="7"/>
  <c r="EW14" i="7"/>
  <c r="DH14" i="7"/>
  <c r="BJ14" i="7"/>
  <c r="T14" i="7"/>
  <c r="FW14" i="7"/>
  <c r="EF14" i="7"/>
  <c r="CQ14" i="7"/>
  <c r="AX14" i="7"/>
  <c r="FV14" i="7"/>
  <c r="EE14" i="7"/>
  <c r="CK14" i="7"/>
  <c r="AV14" i="7"/>
  <c r="FT14" i="7"/>
  <c r="ED14" i="7"/>
  <c r="FS14" i="7"/>
  <c r="DN14" i="7"/>
  <c r="BF14" i="7"/>
  <c r="EX14" i="7"/>
  <c r="CS14" i="7"/>
  <c r="AT14" i="7"/>
  <c r="EV14" i="7"/>
  <c r="CR14" i="7"/>
  <c r="AN14" i="7"/>
  <c r="ET14" i="7"/>
  <c r="CH14" i="7"/>
  <c r="AG14" i="7"/>
  <c r="AF14" i="7"/>
  <c r="DI14" i="7"/>
  <c r="GI14" i="7"/>
  <c r="AU14" i="7"/>
  <c r="DJ14" i="7"/>
  <c r="GK15" i="7"/>
  <c r="BA15" i="7"/>
  <c r="CM15" i="7"/>
  <c r="FN15" i="7"/>
  <c r="AQ15" i="7"/>
  <c r="FJ15" i="7"/>
  <c r="AL15" i="7"/>
  <c r="FI15" i="7"/>
  <c r="AB15" i="7"/>
  <c r="BY15" i="7"/>
  <c r="FA15" i="7"/>
  <c r="EK15" i="7"/>
  <c r="DR15" i="7"/>
  <c r="EF6" i="7"/>
  <c r="AY14" i="7"/>
  <c r="DP14" i="7"/>
  <c r="DU15" i="7"/>
  <c r="BA14" i="7"/>
  <c r="DR14" i="7"/>
  <c r="DV15" i="7"/>
  <c r="BB14" i="7"/>
  <c r="DU14" i="7"/>
  <c r="AM16" i="7"/>
  <c r="CG16" i="7"/>
  <c r="EA16" i="7"/>
  <c r="GF16" i="7"/>
  <c r="AP16" i="7"/>
  <c r="CH16" i="7"/>
  <c r="EE16" i="7"/>
  <c r="FQ16" i="7"/>
  <c r="EH16" i="7"/>
  <c r="CW16" i="7"/>
  <c r="BO16" i="7"/>
  <c r="AJ16" i="7"/>
  <c r="FC16" i="7"/>
  <c r="DR16" i="7"/>
  <c r="CF16" i="7"/>
  <c r="AT16" i="7"/>
  <c r="FX16" i="7"/>
  <c r="EO16" i="7"/>
  <c r="DD16" i="7"/>
  <c r="BR16" i="7"/>
  <c r="AK16" i="7"/>
  <c r="FW16" i="7"/>
  <c r="EM16" i="7"/>
  <c r="DC16" i="7"/>
  <c r="BP16" i="7"/>
  <c r="AG16" i="7"/>
  <c r="FV16" i="7"/>
  <c r="EJ16" i="7"/>
  <c r="CX16" i="7"/>
  <c r="BK16" i="7"/>
  <c r="AD16" i="7"/>
  <c r="AQ16" i="7"/>
  <c r="CI16" i="7"/>
  <c r="EI16" i="7"/>
  <c r="GK16" i="7"/>
  <c r="BG16" i="7"/>
  <c r="DG16" i="7"/>
  <c r="FD16" i="7"/>
  <c r="FY17" i="7"/>
  <c r="FC17" i="7"/>
  <c r="DW17" i="7"/>
  <c r="GA18" i="7"/>
  <c r="FB18" i="7"/>
  <c r="FZ18" i="7"/>
  <c r="DY18" i="7"/>
  <c r="CA18" i="7"/>
  <c r="AC18" i="7"/>
  <c r="FD18" i="7"/>
  <c r="DE18" i="7"/>
  <c r="BF18" i="7"/>
  <c r="GE18" i="7"/>
  <c r="DL18" i="7"/>
  <c r="BK18" i="7"/>
  <c r="FS18" i="7"/>
  <c r="DK18" i="7"/>
  <c r="BI18" i="7"/>
  <c r="EZ18" i="7"/>
  <c r="CY18" i="7"/>
  <c r="AK18" i="7"/>
  <c r="BB18" i="7"/>
  <c r="DR18" i="7"/>
  <c r="BD18" i="7"/>
  <c r="EC18" i="7"/>
  <c r="BW18" i="7"/>
  <c r="EK18" i="7"/>
  <c r="GG14" i="7"/>
  <c r="GC14" i="7"/>
  <c r="FG14" i="7"/>
  <c r="EG14" i="7"/>
  <c r="DK14" i="7"/>
  <c r="CO14" i="7"/>
  <c r="BP14" i="7"/>
  <c r="AS14" i="7"/>
  <c r="S14" i="7"/>
  <c r="GL14" i="7"/>
  <c r="FM14" i="7"/>
  <c r="EM14" i="7"/>
  <c r="DM14" i="7"/>
  <c r="CP14" i="7"/>
  <c r="BN14" i="7"/>
  <c r="AM14" i="7"/>
  <c r="GK14" i="7"/>
  <c r="FJ14" i="7"/>
  <c r="EL14" i="7"/>
  <c r="DL14" i="7"/>
  <c r="CL14" i="7"/>
  <c r="BM14" i="7"/>
  <c r="AL14" i="7"/>
  <c r="FZ14" i="7"/>
  <c r="FA14" i="7"/>
  <c r="EB14" i="7"/>
  <c r="DE14" i="7"/>
  <c r="CB14" i="7"/>
  <c r="BC14" i="7"/>
  <c r="AD14" i="7"/>
  <c r="Y14" i="7"/>
  <c r="BD14" i="7"/>
  <c r="CI14" i="7"/>
  <c r="DO14" i="7"/>
  <c r="EU14" i="7"/>
  <c r="FY14" i="7"/>
  <c r="BX18" i="7"/>
  <c r="EN18" i="7"/>
  <c r="CB18" i="7"/>
  <c r="EQ18" i="7"/>
  <c r="BL18" i="7"/>
  <c r="EG18" i="7"/>
  <c r="S18" i="7"/>
  <c r="CC18" i="7"/>
  <c r="ER18" i="7"/>
  <c r="T18" i="7"/>
  <c r="CK18" i="7"/>
  <c r="FE18" i="7"/>
  <c r="AI14" i="7"/>
  <c r="BQ14" i="7"/>
  <c r="CT14" i="7"/>
  <c r="DZ14" i="7"/>
  <c r="FD14" i="7"/>
  <c r="GJ14" i="7"/>
  <c r="AB18" i="7"/>
  <c r="CM18" i="7"/>
  <c r="FN18" i="7"/>
  <c r="BH18" i="7"/>
  <c r="EF18" i="7"/>
  <c r="AA18" i="7"/>
  <c r="CL18" i="7"/>
  <c r="FG18" i="7"/>
  <c r="AJ14" i="7"/>
  <c r="BS14" i="7"/>
  <c r="CU14" i="7"/>
  <c r="EA14" i="7"/>
  <c r="FE14" i="7"/>
  <c r="FX15" i="7"/>
  <c r="CS15" i="7"/>
  <c r="T15" i="7"/>
  <c r="EX15" i="7"/>
  <c r="EB15" i="7"/>
  <c r="AX15" i="7"/>
  <c r="DW15" i="7"/>
  <c r="AT15" i="7"/>
  <c r="CP15" i="7"/>
  <c r="BT15" i="7"/>
  <c r="FO15" i="7"/>
  <c r="AG18" i="7"/>
  <c r="CZ18" i="7"/>
  <c r="FP18" i="7"/>
  <c r="AK14" i="7"/>
  <c r="BT14" i="7"/>
  <c r="CV14" i="7"/>
  <c r="EC14" i="7"/>
  <c r="FH14" i="7"/>
  <c r="BX15" i="7"/>
  <c r="FT15" i="7"/>
  <c r="AI18" i="7"/>
  <c r="DC18" i="7"/>
  <c r="FR18" i="7"/>
  <c r="GG16" i="7"/>
  <c r="GA16" i="7"/>
  <c r="FB16" i="7"/>
  <c r="DZ16" i="7"/>
  <c r="CY16" i="7"/>
  <c r="BZ16" i="7"/>
  <c r="BB16" i="7"/>
  <c r="Y16" i="7"/>
  <c r="FR16" i="7"/>
  <c r="EP16" i="7"/>
  <c r="DQ16" i="7"/>
  <c r="CM16" i="7"/>
  <c r="BL16" i="7"/>
  <c r="AO16" i="7"/>
  <c r="Q16" i="7"/>
  <c r="AI16" i="7"/>
  <c r="BI16" i="7"/>
  <c r="CL16" i="7"/>
  <c r="DS16" i="7"/>
  <c r="EX16" i="7"/>
  <c r="FY16" i="7"/>
  <c r="AQ17" i="7"/>
  <c r="EM17" i="7"/>
  <c r="AK17" i="7"/>
  <c r="DI17" i="7"/>
  <c r="CL17" i="7"/>
  <c r="R16" i="7"/>
  <c r="AR16" i="7"/>
  <c r="BX16" i="7"/>
  <c r="DA16" i="7"/>
  <c r="EG16" i="7"/>
  <c r="FJ16" i="7"/>
  <c r="CX17" i="7"/>
  <c r="GG17" i="7"/>
  <c r="FQ17" i="7"/>
  <c r="FA17" i="7"/>
  <c r="EK17" i="7"/>
  <c r="DU17" i="7"/>
  <c r="DE17" i="7"/>
  <c r="CO17" i="7"/>
  <c r="BY17" i="7"/>
  <c r="BI17" i="7"/>
  <c r="AS17" i="7"/>
  <c r="AC17" i="7"/>
  <c r="GC17" i="7"/>
  <c r="FL17" i="7"/>
  <c r="EU17" i="7"/>
  <c r="ED17" i="7"/>
  <c r="DM17" i="7"/>
  <c r="CV17" i="7"/>
  <c r="CE17" i="7"/>
  <c r="BN17" i="7"/>
  <c r="AW17" i="7"/>
  <c r="AF17" i="7"/>
  <c r="GB17" i="7"/>
  <c r="FK17" i="7"/>
  <c r="ET17" i="7"/>
  <c r="EC17" i="7"/>
  <c r="DL17" i="7"/>
  <c r="CU17" i="7"/>
  <c r="CD17" i="7"/>
  <c r="BM17" i="7"/>
  <c r="AV17" i="7"/>
  <c r="AE17" i="7"/>
  <c r="N17" i="7"/>
  <c r="GH17" i="7"/>
  <c r="FN17" i="7"/>
  <c r="ES17" i="7"/>
  <c r="DZ17" i="7"/>
  <c r="DG17" i="7"/>
  <c r="CM17" i="7"/>
  <c r="BT17" i="7"/>
  <c r="BA17" i="7"/>
  <c r="AH17" i="7"/>
  <c r="GK17" i="7"/>
  <c r="FP17" i="7"/>
  <c r="EV17" i="7"/>
  <c r="DY17" i="7"/>
  <c r="DD17" i="7"/>
  <c r="CJ17" i="7"/>
  <c r="BP17" i="7"/>
  <c r="AT17" i="7"/>
  <c r="Y17" i="7"/>
  <c r="GF17" i="7"/>
  <c r="FJ17" i="7"/>
  <c r="EP17" i="7"/>
  <c r="DV17" i="7"/>
  <c r="DA17" i="7"/>
  <c r="CG17" i="7"/>
  <c r="BK17" i="7"/>
  <c r="AP17" i="7"/>
  <c r="V17" i="7"/>
  <c r="GI17" i="7"/>
  <c r="FH17" i="7"/>
  <c r="EL17" i="7"/>
  <c r="DO17" i="7"/>
  <c r="CQ17" i="7"/>
  <c r="BS17" i="7"/>
  <c r="AU17" i="7"/>
  <c r="W17" i="7"/>
  <c r="GE17" i="7"/>
  <c r="FG17" i="7"/>
  <c r="EJ17" i="7"/>
  <c r="DN17" i="7"/>
  <c r="CP17" i="7"/>
  <c r="BR17" i="7"/>
  <c r="AR17" i="7"/>
  <c r="U17" i="7"/>
  <c r="GL17" i="7"/>
  <c r="FF17" i="7"/>
  <c r="EG17" i="7"/>
  <c r="DF17" i="7"/>
  <c r="CC17" i="7"/>
  <c r="BD17" i="7"/>
  <c r="AB17" i="7"/>
  <c r="FZ17" i="7"/>
  <c r="FB17" i="7"/>
  <c r="EA17" i="7"/>
  <c r="CY17" i="7"/>
  <c r="BX17" i="7"/>
  <c r="AY17" i="7"/>
  <c r="T17" i="7"/>
  <c r="FW17" i="7"/>
  <c r="EX17" i="7"/>
  <c r="DT17" i="7"/>
  <c r="CT17" i="7"/>
  <c r="BU17" i="7"/>
  <c r="AO17" i="7"/>
  <c r="Q17" i="7"/>
  <c r="FV17" i="7"/>
  <c r="EW17" i="7"/>
  <c r="DS17" i="7"/>
  <c r="CS17" i="7"/>
  <c r="BQ17" i="7"/>
  <c r="AN17" i="7"/>
  <c r="FU17" i="7"/>
  <c r="ER17" i="7"/>
  <c r="DR17" i="7"/>
  <c r="CR17" i="7"/>
  <c r="BO17" i="7"/>
  <c r="AM17" i="7"/>
  <c r="FT17" i="7"/>
  <c r="EQ17" i="7"/>
  <c r="DQ17" i="7"/>
  <c r="CN17" i="7"/>
  <c r="BL17" i="7"/>
  <c r="AL17" i="7"/>
  <c r="EZ17" i="7"/>
  <c r="DH17" i="7"/>
  <c r="BJ17" i="7"/>
  <c r="Z17" i="7"/>
  <c r="EY17" i="7"/>
  <c r="DC17" i="7"/>
  <c r="BH17" i="7"/>
  <c r="X17" i="7"/>
  <c r="GM17" i="7"/>
  <c r="EO17" i="7"/>
  <c r="DB17" i="7"/>
  <c r="BG17" i="7"/>
  <c r="S17" i="7"/>
  <c r="GJ17" i="7"/>
  <c r="EN17" i="7"/>
  <c r="CZ17" i="7"/>
  <c r="BF17" i="7"/>
  <c r="R17" i="7"/>
  <c r="GA17" i="7"/>
  <c r="EI17" i="7"/>
  <c r="CW17" i="7"/>
  <c r="BC17" i="7"/>
  <c r="FX17" i="7"/>
  <c r="EF17" i="7"/>
  <c r="CK17" i="7"/>
  <c r="AZ17" i="7"/>
  <c r="FE17" i="7"/>
  <c r="DK17" i="7"/>
  <c r="BZ17" i="7"/>
  <c r="AG17" i="7"/>
  <c r="FD17" i="7"/>
  <c r="DJ17" i="7"/>
  <c r="BW17" i="7"/>
  <c r="AD17" i="7"/>
  <c r="CA17" i="7"/>
  <c r="FI17" i="7"/>
  <c r="CF17" i="7"/>
  <c r="FO17" i="7"/>
  <c r="CH17" i="7"/>
  <c r="FR17" i="7"/>
  <c r="CI17" i="7"/>
  <c r="FS17" i="7"/>
  <c r="GM15" i="7"/>
  <c r="FW15" i="7"/>
  <c r="FG15" i="7"/>
  <c r="EQ15" i="7"/>
  <c r="EA15" i="7"/>
  <c r="DK15" i="7"/>
  <c r="CU15" i="7"/>
  <c r="CE15" i="7"/>
  <c r="BO15" i="7"/>
  <c r="AY15" i="7"/>
  <c r="AI15" i="7"/>
  <c r="S15" i="7"/>
  <c r="GC15" i="7"/>
  <c r="FL15" i="7"/>
  <c r="EU15" i="7"/>
  <c r="ED15" i="7"/>
  <c r="DM15" i="7"/>
  <c r="CV15" i="7"/>
  <c r="CD15" i="7"/>
  <c r="BM15" i="7"/>
  <c r="AV15" i="7"/>
  <c r="AE15" i="7"/>
  <c r="N15" i="7"/>
  <c r="GB15" i="7"/>
  <c r="FK15" i="7"/>
  <c r="ET15" i="7"/>
  <c r="EC15" i="7"/>
  <c r="DL15" i="7"/>
  <c r="CT15" i="7"/>
  <c r="CC15" i="7"/>
  <c r="BL15" i="7"/>
  <c r="AU15" i="7"/>
  <c r="AD15" i="7"/>
  <c r="FZ15" i="7"/>
  <c r="FF15" i="7"/>
  <c r="EM15" i="7"/>
  <c r="DT15" i="7"/>
  <c r="DA15" i="7"/>
  <c r="CH15" i="7"/>
  <c r="BN15" i="7"/>
  <c r="AS15" i="7"/>
  <c r="Z15" i="7"/>
  <c r="FV15" i="7"/>
  <c r="FC15" i="7"/>
  <c r="EJ15" i="7"/>
  <c r="DQ15" i="7"/>
  <c r="CX15" i="7"/>
  <c r="CB15" i="7"/>
  <c r="BI15" i="7"/>
  <c r="AP15" i="7"/>
  <c r="W15" i="7"/>
  <c r="FR15" i="7"/>
  <c r="EW15" i="7"/>
  <c r="DY15" i="7"/>
  <c r="DD15" i="7"/>
  <c r="CI15" i="7"/>
  <c r="BJ15" i="7"/>
  <c r="AN15" i="7"/>
  <c r="R15" i="7"/>
  <c r="GL15" i="7"/>
  <c r="FQ15" i="7"/>
  <c r="EV15" i="7"/>
  <c r="DX15" i="7"/>
  <c r="DC15" i="7"/>
  <c r="CG15" i="7"/>
  <c r="BH15" i="7"/>
  <c r="AM15" i="7"/>
  <c r="Q15" i="7"/>
  <c r="FS15" i="7"/>
  <c r="ER15" i="7"/>
  <c r="DS15" i="7"/>
  <c r="CR15" i="7"/>
  <c r="BU15" i="7"/>
  <c r="AW15" i="7"/>
  <c r="V15" i="7"/>
  <c r="GJ15" i="7"/>
  <c r="FM15" i="7"/>
  <c r="EL15" i="7"/>
  <c r="DN15" i="7"/>
  <c r="CN15" i="7"/>
  <c r="BQ15" i="7"/>
  <c r="AO15" i="7"/>
  <c r="GG15" i="7"/>
  <c r="FH15" i="7"/>
  <c r="EH15" i="7"/>
  <c r="DH15" i="7"/>
  <c r="CK15" i="7"/>
  <c r="BG15" i="7"/>
  <c r="AJ15" i="7"/>
  <c r="DF15" i="7"/>
  <c r="GF15" i="7"/>
  <c r="FE15" i="7"/>
  <c r="EG15" i="7"/>
  <c r="DG15" i="7"/>
  <c r="CJ15" i="7"/>
  <c r="BF15" i="7"/>
  <c r="AH15" i="7"/>
  <c r="GE15" i="7"/>
  <c r="FD15" i="7"/>
  <c r="EF15" i="7"/>
  <c r="CF15" i="7"/>
  <c r="BE15" i="7"/>
  <c r="AG15" i="7"/>
  <c r="GD15" i="7"/>
  <c r="FB15" i="7"/>
  <c r="EE15" i="7"/>
  <c r="DE15" i="7"/>
  <c r="CA15" i="7"/>
  <c r="BD15" i="7"/>
  <c r="AF15" i="7"/>
  <c r="AC15" i="7"/>
  <c r="BV15" i="7"/>
  <c r="DJ15" i="7"/>
  <c r="EY15" i="7"/>
  <c r="AK15" i="7"/>
  <c r="BW15" i="7"/>
  <c r="DO15" i="7"/>
  <c r="EZ15" i="7"/>
  <c r="BC18" i="7"/>
  <c r="CN18" i="7"/>
  <c r="EJ18" i="7"/>
  <c r="AZ15" i="7"/>
  <c r="CO15" i="7"/>
  <c r="DZ15" i="7"/>
  <c r="FP15" i="7"/>
  <c r="BB15" i="7"/>
  <c r="CQ15" i="7"/>
  <c r="EI15" i="7"/>
  <c r="FU15" i="7"/>
  <c r="U15" i="7"/>
  <c r="BK15" i="7"/>
  <c r="CW15" i="7"/>
  <c r="EN15" i="7"/>
  <c r="FY15" i="7"/>
  <c r="X15" i="7"/>
  <c r="BP15" i="7"/>
  <c r="CY15" i="7"/>
  <c r="EO15" i="7"/>
  <c r="GA15" i="7"/>
  <c r="EM6" i="7"/>
  <c r="Y15" i="7"/>
  <c r="BR15" i="7"/>
  <c r="CZ15" i="7"/>
  <c r="EP15" i="7"/>
  <c r="GH15" i="7"/>
  <c r="GL18" i="7"/>
  <c r="FV18" i="7"/>
  <c r="FF18" i="7"/>
  <c r="EP18" i="7"/>
  <c r="DZ18" i="7"/>
  <c r="DJ18" i="7"/>
  <c r="CT18" i="7"/>
  <c r="CD18" i="7"/>
  <c r="BN18" i="7"/>
  <c r="AX18" i="7"/>
  <c r="AH18" i="7"/>
  <c r="R18" i="7"/>
  <c r="GD18" i="7"/>
  <c r="FM18" i="7"/>
  <c r="EV18" i="7"/>
  <c r="EE18" i="7"/>
  <c r="DN18" i="7"/>
  <c r="CW18" i="7"/>
  <c r="CF18" i="7"/>
  <c r="BO18" i="7"/>
  <c r="AW18" i="7"/>
  <c r="AF18" i="7"/>
  <c r="GC18" i="7"/>
  <c r="FL18" i="7"/>
  <c r="EU18" i="7"/>
  <c r="ED18" i="7"/>
  <c r="DM18" i="7"/>
  <c r="CV18" i="7"/>
  <c r="CE18" i="7"/>
  <c r="BM18" i="7"/>
  <c r="AV18" i="7"/>
  <c r="AE18" i="7"/>
  <c r="N18" i="7"/>
  <c r="FT18" i="7"/>
  <c r="FA18" i="7"/>
  <c r="EH18" i="7"/>
  <c r="DO18" i="7"/>
  <c r="CS18" i="7"/>
  <c r="BZ18" i="7"/>
  <c r="BG18" i="7"/>
  <c r="AN18" i="7"/>
  <c r="U18" i="7"/>
  <c r="GI18" i="7"/>
  <c r="FO18" i="7"/>
  <c r="ES18" i="7"/>
  <c r="DX18" i="7"/>
  <c r="DD18" i="7"/>
  <c r="CJ18" i="7"/>
  <c r="BP18" i="7"/>
  <c r="AS18" i="7"/>
  <c r="Y18" i="7"/>
  <c r="GF18" i="7"/>
  <c r="FJ18" i="7"/>
  <c r="EO18" i="7"/>
  <c r="DU18" i="7"/>
  <c r="DA18" i="7"/>
  <c r="CG18" i="7"/>
  <c r="BJ18" i="7"/>
  <c r="AP18" i="7"/>
  <c r="V18" i="7"/>
  <c r="GJ18" i="7"/>
  <c r="FK18" i="7"/>
  <c r="EM18" i="7"/>
  <c r="DQ18" i="7"/>
  <c r="CQ18" i="7"/>
  <c r="BU18" i="7"/>
  <c r="AY18" i="7"/>
  <c r="Z18" i="7"/>
  <c r="GH18" i="7"/>
  <c r="FI18" i="7"/>
  <c r="EL18" i="7"/>
  <c r="DP18" i="7"/>
  <c r="CP18" i="7"/>
  <c r="BT18" i="7"/>
  <c r="AU18" i="7"/>
  <c r="X18" i="7"/>
  <c r="GM18" i="7"/>
  <c r="FH18" i="7"/>
  <c r="EI18" i="7"/>
  <c r="DG18" i="7"/>
  <c r="CH18" i="7"/>
  <c r="BE18" i="7"/>
  <c r="AD18" i="7"/>
  <c r="GB18" i="7"/>
  <c r="FC18" i="7"/>
  <c r="EB18" i="7"/>
  <c r="DB18" i="7"/>
  <c r="BY18" i="7"/>
  <c r="BA18" i="7"/>
  <c r="W18" i="7"/>
  <c r="FY18" i="7"/>
  <c r="EY18" i="7"/>
  <c r="DW18" i="7"/>
  <c r="CX18" i="7"/>
  <c r="BV18" i="7"/>
  <c r="AR18" i="7"/>
  <c r="Q18" i="7"/>
  <c r="FX18" i="7"/>
  <c r="EX18" i="7"/>
  <c r="DV18" i="7"/>
  <c r="CU18" i="7"/>
  <c r="BS18" i="7"/>
  <c r="AQ18" i="7"/>
  <c r="FW18" i="7"/>
  <c r="EW18" i="7"/>
  <c r="DT18" i="7"/>
  <c r="CR18" i="7"/>
  <c r="BR18" i="7"/>
  <c r="AO18" i="7"/>
  <c r="FU18" i="7"/>
  <c r="ET18" i="7"/>
  <c r="DS18" i="7"/>
  <c r="CO18" i="7"/>
  <c r="BQ18" i="7"/>
  <c r="AM18" i="7"/>
  <c r="AL18" i="7"/>
  <c r="CI18" i="7"/>
  <c r="EA18" i="7"/>
  <c r="FQ18" i="7"/>
  <c r="AQ12" i="7"/>
  <c r="Z12" i="7"/>
  <c r="AE12" i="7"/>
  <c r="AC12" i="7"/>
  <c r="AK12" i="7"/>
  <c r="AJ12" i="7"/>
  <c r="Y12" i="7"/>
  <c r="AA15" i="7"/>
  <c r="BS15" i="7"/>
  <c r="DB15" i="7"/>
  <c r="ES15" i="7"/>
  <c r="GI15" i="7"/>
  <c r="U14" i="7"/>
  <c r="AO14" i="7"/>
  <c r="BK14" i="7"/>
  <c r="CE14" i="7"/>
  <c r="CZ14" i="7"/>
  <c r="DW14" i="7"/>
  <c r="EQ14" i="7"/>
  <c r="FK14" i="7"/>
  <c r="Z16" i="7"/>
  <c r="AU16" i="7"/>
  <c r="BS16" i="7"/>
  <c r="CP16" i="7"/>
  <c r="DN16" i="7"/>
  <c r="EK16" i="7"/>
  <c r="FH16" i="7"/>
  <c r="GF14" i="7"/>
  <c r="FP14" i="7"/>
  <c r="EZ14" i="7"/>
  <c r="EJ14" i="7"/>
  <c r="DT14" i="7"/>
  <c r="DD14" i="7"/>
  <c r="CN14" i="7"/>
  <c r="BX14" i="7"/>
  <c r="BH14" i="7"/>
  <c r="AR14" i="7"/>
  <c r="AB14" i="7"/>
  <c r="GE14" i="7"/>
  <c r="FO14" i="7"/>
  <c r="EY14" i="7"/>
  <c r="EI14" i="7"/>
  <c r="DS14" i="7"/>
  <c r="DC14" i="7"/>
  <c r="CM14" i="7"/>
  <c r="BW14" i="7"/>
  <c r="BG14" i="7"/>
  <c r="AQ14" i="7"/>
  <c r="AA14" i="7"/>
  <c r="FX14" i="7"/>
  <c r="FF14" i="7"/>
  <c r="EN14" i="7"/>
  <c r="DV14" i="7"/>
  <c r="DB14" i="7"/>
  <c r="CJ14" i="7"/>
  <c r="BR14" i="7"/>
  <c r="AZ14" i="7"/>
  <c r="AH14" i="7"/>
  <c r="GM14" i="7"/>
  <c r="FU14" i="7"/>
  <c r="FC14" i="7"/>
  <c r="EK14" i="7"/>
  <c r="DQ14" i="7"/>
  <c r="CY14" i="7"/>
  <c r="CG14" i="7"/>
  <c r="BO14" i="7"/>
  <c r="AW14" i="7"/>
  <c r="AE14" i="7"/>
  <c r="V14" i="7"/>
  <c r="AP14" i="7"/>
  <c r="BL14" i="7"/>
  <c r="CF14" i="7"/>
  <c r="DA14" i="7"/>
  <c r="DX14" i="7"/>
  <c r="ER14" i="7"/>
  <c r="FL14" i="7"/>
  <c r="GH14" i="7"/>
  <c r="GB16" i="7"/>
  <c r="FL16" i="7"/>
  <c r="EV16" i="7"/>
  <c r="EF16" i="7"/>
  <c r="DP16" i="7"/>
  <c r="CZ16" i="7"/>
  <c r="CJ16" i="7"/>
  <c r="BT16" i="7"/>
  <c r="BD16" i="7"/>
  <c r="AN16" i="7"/>
  <c r="X16" i="7"/>
  <c r="GD16" i="7"/>
  <c r="FM16" i="7"/>
  <c r="EU16" i="7"/>
  <c r="ED16" i="7"/>
  <c r="DM16" i="7"/>
  <c r="CV16" i="7"/>
  <c r="CE16" i="7"/>
  <c r="BN16" i="7"/>
  <c r="AW16" i="7"/>
  <c r="AF16" i="7"/>
  <c r="GC16" i="7"/>
  <c r="FK16" i="7"/>
  <c r="ET16" i="7"/>
  <c r="EC16" i="7"/>
  <c r="DL16" i="7"/>
  <c r="CU16" i="7"/>
  <c r="CD16" i="7"/>
  <c r="BM16" i="7"/>
  <c r="AV16" i="7"/>
  <c r="AE16" i="7"/>
  <c r="N16" i="7"/>
  <c r="FZ16" i="7"/>
  <c r="FG16" i="7"/>
  <c r="EN16" i="7"/>
  <c r="DU16" i="7"/>
  <c r="DB16" i="7"/>
  <c r="GM16" i="7"/>
  <c r="FS16" i="7"/>
  <c r="EY16" i="7"/>
  <c r="EB16" i="7"/>
  <c r="DH16" i="7"/>
  <c r="CN16" i="7"/>
  <c r="BU16" i="7"/>
  <c r="BA16" i="7"/>
  <c r="AH16" i="7"/>
  <c r="GJ16" i="7"/>
  <c r="FP16" i="7"/>
  <c r="ES16" i="7"/>
  <c r="DY16" i="7"/>
  <c r="DE16" i="7"/>
  <c r="CK16" i="7"/>
  <c r="BQ16" i="7"/>
  <c r="AX16" i="7"/>
  <c r="AC16" i="7"/>
  <c r="AA16" i="7"/>
  <c r="AY16" i="7"/>
  <c r="BV16" i="7"/>
  <c r="CQ16" i="7"/>
  <c r="DO16" i="7"/>
  <c r="EL16" i="7"/>
  <c r="FI16" i="7"/>
  <c r="GH16" i="7"/>
  <c r="BN6" i="7" l="1"/>
  <c r="BR9" i="7"/>
  <c r="CF6" i="7"/>
  <c r="AU9" i="7"/>
  <c r="CL6" i="7"/>
  <c r="BO9" i="7"/>
  <c r="AZ6" i="7"/>
  <c r="BG9" i="7"/>
  <c r="EA6" i="7"/>
  <c r="BX6" i="7"/>
  <c r="DE6" i="7"/>
  <c r="ET6" i="7"/>
  <c r="T6" i="7"/>
  <c r="R12" i="7"/>
  <c r="BH6" i="7"/>
  <c r="Y9" i="7"/>
  <c r="AM9" i="7"/>
  <c r="R9" i="7"/>
  <c r="CA9" i="7"/>
  <c r="S12" i="7"/>
  <c r="DY6" i="7"/>
  <c r="R6" i="7"/>
  <c r="AK6" i="7"/>
  <c r="AI6" i="7"/>
  <c r="AX9" i="7"/>
  <c r="AD9" i="7"/>
  <c r="AR9" i="7"/>
  <c r="Z9" i="7"/>
  <c r="AN12" i="7"/>
  <c r="ER6" i="7"/>
  <c r="AL6" i="7"/>
  <c r="BB6" i="7"/>
  <c r="W9" i="7"/>
  <c r="BP9" i="7"/>
  <c r="AQ9" i="7"/>
  <c r="DQ6" i="7"/>
  <c r="W12" i="7"/>
  <c r="AF6" i="7"/>
  <c r="BE6" i="7"/>
  <c r="BS6" i="7"/>
  <c r="AV9" i="7"/>
  <c r="AH9" i="7"/>
  <c r="BH9" i="7"/>
  <c r="AV6" i="7"/>
  <c r="CJ6" i="7"/>
  <c r="BZ9" i="7"/>
  <c r="BM9" i="7"/>
  <c r="BT9" i="7"/>
  <c r="BB9" i="7"/>
  <c r="BY9" i="7"/>
  <c r="AP12" i="7"/>
  <c r="V12" i="7"/>
  <c r="AB9" i="7"/>
  <c r="V9" i="7"/>
  <c r="X9" i="7"/>
  <c r="BU9" i="7"/>
  <c r="AC9" i="7"/>
  <c r="AH12" i="7"/>
  <c r="X12" i="7"/>
  <c r="CM6" i="7"/>
  <c r="DK6" i="7"/>
  <c r="DR6" i="7"/>
  <c r="AZ9" i="7"/>
  <c r="AW9" i="7"/>
  <c r="AI9" i="7"/>
  <c r="AT9" i="7"/>
  <c r="AL12" i="7"/>
  <c r="DA6" i="7"/>
  <c r="AD12" i="7"/>
  <c r="EB6" i="7"/>
  <c r="DF6" i="7"/>
  <c r="ED6" i="7"/>
  <c r="EI6" i="7"/>
  <c r="BX9" i="7"/>
  <c r="BC9" i="7"/>
  <c r="BK9" i="7"/>
  <c r="AQ6" i="7"/>
  <c r="CR6" i="7"/>
  <c r="AA12" i="7"/>
  <c r="CZ6" i="7"/>
  <c r="DZ6" i="7"/>
  <c r="Q6" i="7"/>
  <c r="AE6" i="7"/>
  <c r="BS9" i="7"/>
  <c r="AF9" i="7"/>
  <c r="BV9" i="7"/>
  <c r="U9" i="7"/>
  <c r="BT6" i="7"/>
  <c r="CB6" i="7"/>
  <c r="ES6" i="7"/>
  <c r="AH6" i="7"/>
  <c r="AU6" i="7"/>
  <c r="AA9" i="7"/>
  <c r="BI9" i="7"/>
  <c r="Q9" i="7"/>
  <c r="AK9" i="7"/>
  <c r="BC6" i="7"/>
  <c r="AG6" i="7"/>
  <c r="AY6" i="7"/>
  <c r="BK6" i="7"/>
  <c r="BJ9" i="7"/>
  <c r="AL9" i="7"/>
  <c r="AJ9" i="7"/>
  <c r="BA9" i="7"/>
  <c r="EG6" i="7"/>
  <c r="Z6" i="7"/>
  <c r="BA6" i="7"/>
  <c r="BP6" i="7"/>
  <c r="CA6" i="7"/>
  <c r="U12" i="7"/>
  <c r="S9" i="7"/>
  <c r="BL9" i="7"/>
  <c r="BD9" i="7"/>
  <c r="BQ9" i="7"/>
  <c r="BI6" i="7"/>
  <c r="AD6" i="7"/>
  <c r="BU6" i="7"/>
  <c r="CG6" i="7"/>
  <c r="CQ6" i="7"/>
  <c r="AG12" i="7"/>
  <c r="AY9" i="7"/>
  <c r="AO9" i="7"/>
  <c r="BW9" i="7"/>
  <c r="AS9" i="7"/>
  <c r="AX6" i="7"/>
  <c r="CN6" i="7"/>
  <c r="CX6" i="7"/>
  <c r="DG6" i="7"/>
  <c r="EH6" i="7"/>
  <c r="BF9" i="7"/>
  <c r="BN9" i="7"/>
  <c r="T9" i="7"/>
  <c r="AG9" i="7"/>
  <c r="AI12" i="7"/>
  <c r="BR6" i="7"/>
  <c r="DH6" i="7"/>
  <c r="DO6" i="7"/>
  <c r="DW6" i="7"/>
  <c r="DI6" i="7"/>
  <c r="BE9" i="7"/>
  <c r="AP9" i="7"/>
  <c r="AN9" i="7"/>
  <c r="AE9" i="7"/>
  <c r="CU6" i="7"/>
  <c r="EC6" i="7"/>
  <c r="DP6" i="7"/>
  <c r="DX6" i="7"/>
  <c r="DM6" i="7"/>
  <c r="BZ6" i="7"/>
  <c r="BV6" i="7"/>
  <c r="DV6" i="7"/>
  <c r="W6" i="7"/>
  <c r="AJ6" i="7"/>
  <c r="BD6" i="7"/>
  <c r="EL6" i="7"/>
  <c r="DT6" i="7"/>
  <c r="CI6" i="7"/>
  <c r="DS6" i="7"/>
  <c r="Q12" i="7"/>
  <c r="BG6" i="7"/>
  <c r="AR6" i="7"/>
  <c r="CH6" i="7"/>
  <c r="EE6" i="7"/>
  <c r="CE6" i="7"/>
  <c r="CS6" i="7"/>
  <c r="U6" i="7"/>
  <c r="CO6" i="7"/>
  <c r="DU6" i="7"/>
  <c r="CK6" i="7"/>
  <c r="DC6" i="7"/>
  <c r="AB6" i="7"/>
  <c r="CT6" i="7"/>
  <c r="DD6" i="7"/>
  <c r="BJ6" i="7"/>
  <c r="BM6" i="7"/>
  <c r="EN6" i="7"/>
  <c r="EK6" i="7"/>
  <c r="V6" i="7"/>
  <c r="CP6" i="7"/>
  <c r="BY6" i="7"/>
  <c r="S6" i="7"/>
  <c r="CV6" i="7"/>
  <c r="BF6" i="7"/>
  <c r="AO6" i="7"/>
  <c r="AT6" i="7"/>
  <c r="CW6" i="7"/>
  <c r="CC6" i="7"/>
  <c r="EQ6" i="7"/>
  <c r="T12" i="7"/>
  <c r="Y6" i="7"/>
  <c r="DL6" i="7"/>
  <c r="BL6" i="7"/>
  <c r="AM12" i="7"/>
  <c r="EP6" i="7"/>
  <c r="EU6" i="7"/>
  <c r="EO6" i="7"/>
  <c r="DN6" i="7"/>
  <c r="P9" i="7"/>
  <c r="AO12" i="7"/>
  <c r="AF12" i="7"/>
  <c r="AB12" i="7"/>
  <c r="P12" i="7"/>
  <c r="P6" i="7"/>
  <c r="BO6" i="7"/>
  <c r="BQ6" i="7"/>
  <c r="AW6" i="7"/>
  <c r="BW6" i="7"/>
  <c r="CY6" i="7"/>
  <c r="AC6" i="7"/>
  <c r="CD6" i="7"/>
  <c r="AN6" i="7"/>
  <c r="AM6" i="7"/>
  <c r="DJ6" i="7"/>
  <c r="X6" i="7"/>
  <c r="EJ6" i="7"/>
  <c r="DB6" i="7"/>
  <c r="AP6" i="7"/>
  <c r="AS6" i="7"/>
  <c r="AA6" i="7"/>
  <c r="GC13" i="7" l="1" a="1"/>
  <c r="AL13" i="7" a="1"/>
  <c r="CH13" i="7" a="1"/>
  <c r="CI13" i="7" a="1"/>
  <c r="GB13" i="7" a="1"/>
  <c r="Z13" i="7" a="1"/>
  <c r="EF13" i="7" a="1"/>
  <c r="EE13" i="7" a="1"/>
  <c r="FL13" i="7" a="1"/>
  <c r="BA13" i="7" a="1"/>
  <c r="BY13" i="7" a="1"/>
  <c r="FQ13" i="7" a="1"/>
  <c r="GL13" i="7" a="1"/>
  <c r="EO13" i="7" a="1"/>
  <c r="CR13" i="7" a="1"/>
  <c r="EZ13" i="7" a="1"/>
  <c r="BW13" i="7" a="1"/>
  <c r="FZ13" i="7" a="1"/>
  <c r="CJ13" i="7" a="1"/>
  <c r="AK13" i="7" a="1"/>
  <c r="AC13" i="7" a="1"/>
  <c r="EK13" i="7" a="1"/>
  <c r="FV13" i="7" a="1"/>
  <c r="DY13" i="7" a="1"/>
  <c r="CB13" i="7" a="1"/>
  <c r="EJ13" i="7" a="1"/>
  <c r="BG13" i="7" a="1"/>
  <c r="DR13" i="7" a="1"/>
  <c r="DT13" i="7" a="1"/>
  <c r="ED13" i="7" a="1"/>
  <c r="BJ13" i="7" a="1"/>
  <c r="FD13" i="7" a="1"/>
  <c r="EI13" i="7" a="1"/>
  <c r="AD13" i="7" a="1"/>
  <c r="AY13" i="7" a="1"/>
  <c r="CK13" i="7" a="1"/>
  <c r="U13" i="7" a="1"/>
  <c r="FX13" i="7" a="1"/>
  <c r="CO13" i="7" a="1"/>
  <c r="FF13" i="7" a="1"/>
  <c r="DI13" i="7" a="1"/>
  <c r="BL13" i="7" a="1"/>
  <c r="AQ13" i="7" a="1"/>
  <c r="Y13" i="7" a="1"/>
  <c r="Y13" i="7" s="1"/>
  <c r="AO13" i="7" a="1"/>
  <c r="AO13" i="7" s="1"/>
  <c r="BD13" i="7" a="1"/>
  <c r="GI13" i="7" a="1"/>
  <c r="FH13" i="7" a="1"/>
  <c r="AS13" i="7" a="1"/>
  <c r="EP13" i="7" a="1"/>
  <c r="CS13" i="7" a="1"/>
  <c r="AV13" i="7" a="1"/>
  <c r="DD13" i="7" a="1"/>
  <c r="AA13" i="7" a="1"/>
  <c r="V13" i="7" a="1"/>
  <c r="BV13" i="7" a="1"/>
  <c r="FT13" i="7" a="1"/>
  <c r="AM13" i="7" a="1"/>
  <c r="AM13" i="7" s="1"/>
  <c r="EX13" i="7" a="1"/>
  <c r="EM13" i="7" a="1"/>
  <c r="ER13" i="7" a="1"/>
  <c r="GM13" i="7" a="1"/>
  <c r="DZ13" i="7" a="1"/>
  <c r="CC13" i="7" a="1"/>
  <c r="AF13" i="7" a="1"/>
  <c r="CN13" i="7" a="1"/>
  <c r="EG13" i="7" a="1"/>
  <c r="BS13" i="7" a="1"/>
  <c r="T13" i="7" a="1"/>
  <c r="GD13" i="7" a="1"/>
  <c r="BE13" i="7" a="1"/>
  <c r="DG13" i="7" a="1"/>
  <c r="EB13" i="7" a="1"/>
  <c r="FW13" i="7" a="1"/>
  <c r="DJ13" i="7" a="1"/>
  <c r="BM13" i="7" a="1"/>
  <c r="FS13" i="7" a="1"/>
  <c r="BX13" i="7" a="1"/>
  <c r="EH13" i="7" a="1"/>
  <c r="DP13" i="7" a="1"/>
  <c r="GA13" i="7" a="1"/>
  <c r="DF13" i="7" a="1"/>
  <c r="R13" i="7" a="1"/>
  <c r="EY13" i="7" a="1"/>
  <c r="BO13" i="7" a="1"/>
  <c r="AN13" i="7" a="1"/>
  <c r="DB13" i="7" a="1"/>
  <c r="BR13" i="7" a="1"/>
  <c r="CA13" i="7" a="1"/>
  <c r="DL13" i="7" a="1"/>
  <c r="FG13" i="7" a="1"/>
  <c r="CT13" i="7" a="1"/>
  <c r="AW13" i="7" a="1"/>
  <c r="FC13" i="7" a="1"/>
  <c r="BH13" i="7" a="1"/>
  <c r="ET13" i="7" a="1"/>
  <c r="FM13" i="7" a="1"/>
  <c r="CL13" i="7" a="1"/>
  <c r="FK13" i="7" a="1"/>
  <c r="DO13" i="7" a="1"/>
  <c r="AE13" i="7" a="1"/>
  <c r="CV13" i="7" a="1"/>
  <c r="EQ13" i="7" a="1"/>
  <c r="CD13" i="7" a="1"/>
  <c r="AG13" i="7" a="1"/>
  <c r="AG13" i="7" s="1"/>
  <c r="DW13" i="7" a="1"/>
  <c r="AR13" i="7" a="1"/>
  <c r="BB13" i="7" a="1"/>
  <c r="FY13" i="7" a="1"/>
  <c r="GH13" i="7" a="1"/>
  <c r="CF13" i="7" a="1"/>
  <c r="EA13" i="7" a="1"/>
  <c r="BN13" i="7" a="1"/>
  <c r="Q13" i="7" a="1"/>
  <c r="CQ13" i="7" a="1"/>
  <c r="AB13" i="7" a="1"/>
  <c r="EV13" i="7" a="1"/>
  <c r="EU13" i="7" a="1"/>
  <c r="EC13" i="7" a="1"/>
  <c r="AJ13" i="7" a="1"/>
  <c r="AJ13" i="7" s="1"/>
  <c r="CE13" i="7" a="1"/>
  <c r="FA13" i="7" a="1"/>
  <c r="EW13" i="7" a="1"/>
  <c r="CY13" i="7" a="1"/>
  <c r="DM13" i="7" a="1"/>
  <c r="BZ13" i="7" a="1"/>
  <c r="DE13" i="7" a="1"/>
  <c r="DQ13" i="7" a="1"/>
  <c r="FR13" i="7" a="1"/>
  <c r="AP13" i="7" a="1"/>
  <c r="FI13" i="7" a="1"/>
  <c r="FB13" i="7" a="1"/>
  <c r="BP13" i="7" a="1"/>
  <c r="DK13" i="7" a="1"/>
  <c r="AX13" i="7" a="1"/>
  <c r="CP13" i="7" a="1"/>
  <c r="BK13" i="7" a="1"/>
  <c r="GE13" i="7" a="1"/>
  <c r="BC13" i="7" a="1"/>
  <c r="CX13" i="7" a="1"/>
  <c r="ES13" i="7" a="1"/>
  <c r="EL13" i="7" a="1"/>
  <c r="AZ13" i="7" a="1"/>
  <c r="CU13" i="7" a="1"/>
  <c r="AH13" i="7" a="1"/>
  <c r="GJ13" i="7" a="1"/>
  <c r="AU13" i="7" a="1"/>
  <c r="FO13" i="7" a="1"/>
  <c r="CZ13" i="7" a="1"/>
  <c r="W13" i="7" a="1"/>
  <c r="BT13" i="7" a="1"/>
  <c r="DA13" i="7" a="1"/>
  <c r="CG13" i="7" a="1"/>
  <c r="GG13" i="7" a="1"/>
  <c r="DV13" i="7" a="1"/>
  <c r="AI13" i="7" a="1"/>
  <c r="FU13" i="7" a="1"/>
  <c r="DX13" i="7" a="1"/>
  <c r="GF13" i="7" a="1"/>
  <c r="DC13" i="7" a="1"/>
  <c r="BF13" i="7" a="1"/>
  <c r="X13" i="7" a="1"/>
  <c r="BQ13" i="7" a="1"/>
  <c r="DU13" i="7" a="1"/>
  <c r="AT13" i="7" a="1"/>
  <c r="S13" i="7" a="1"/>
  <c r="FE13" i="7" a="1"/>
  <c r="DH13" i="7" a="1"/>
  <c r="FP13" i="7" a="1"/>
  <c r="CM13" i="7" a="1"/>
  <c r="DN13" i="7" a="1"/>
  <c r="BU13" i="7" a="1"/>
  <c r="CW13" i="7" a="1"/>
  <c r="BI13" i="7" a="1"/>
  <c r="FN13" i="7" a="1"/>
  <c r="FJ13" i="7" a="1"/>
  <c r="EN13" i="7" a="1"/>
  <c r="DS13" i="7" a="1"/>
  <c r="GK13" i="7" a="1"/>
  <c r="EY10" i="7" a="1"/>
  <c r="DB10" i="7" a="1"/>
  <c r="BG10" i="7" a="1"/>
  <c r="EX10" i="7" a="1"/>
  <c r="DA10" i="7" a="1"/>
  <c r="BF10" i="7" a="1"/>
  <c r="BF10" i="7" s="1"/>
  <c r="EI10" i="7" a="1"/>
  <c r="AQ10" i="7" a="1"/>
  <c r="GE10" i="7" a="1"/>
  <c r="CL10" i="7" a="1"/>
  <c r="GD10" i="7" a="1"/>
  <c r="AO10" i="7" a="1"/>
  <c r="AO10" i="7" s="1"/>
  <c r="GC10" i="7" a="1"/>
  <c r="CB10" i="7" a="1"/>
  <c r="DT10" i="7" a="1"/>
  <c r="AB10" i="7" a="1"/>
  <c r="AA10" i="7" a="1"/>
  <c r="FO10" i="7" a="1"/>
  <c r="Z10" i="7" a="1"/>
  <c r="FN10" i="7" a="1"/>
  <c r="BV10" i="7" a="1"/>
  <c r="BV10" i="7" s="1"/>
  <c r="BU10" i="7" a="1"/>
  <c r="BU10" i="7" s="1"/>
  <c r="BI10" i="7" a="1"/>
  <c r="DC10" i="7" a="1"/>
  <c r="GF10" i="7" a="1"/>
  <c r="CM10" i="7" a="1"/>
  <c r="EH10" i="7" a="1"/>
  <c r="AP10" i="7" a="1"/>
  <c r="AP10" i="7" s="1"/>
  <c r="EG10" i="7" a="1"/>
  <c r="CK10" i="7" a="1"/>
  <c r="DU10" i="7" a="1"/>
  <c r="AC10" i="7" a="1"/>
  <c r="FQ10" i="7" a="1"/>
  <c r="BY10" i="7" a="1"/>
  <c r="FP10" i="7" a="1"/>
  <c r="DS10" i="7" a="1"/>
  <c r="BX10" i="7" a="1"/>
  <c r="BX10" i="7" s="1"/>
  <c r="DR10" i="7" a="1"/>
  <c r="FM10" i="7" a="1"/>
  <c r="DD10" i="7" a="1"/>
  <c r="BH10" i="7" a="1"/>
  <c r="BH10" i="7" s="1"/>
  <c r="BW10" i="7" a="1"/>
  <c r="BW10" i="7" s="1"/>
  <c r="DQ10" i="7" a="1"/>
  <c r="Y10" i="7" a="1"/>
  <c r="Y10" i="7" s="1"/>
  <c r="DE10" i="7" a="1"/>
  <c r="FA10" i="7" a="1"/>
  <c r="EZ10" i="7" a="1"/>
  <c r="BD10" i="7" a="1"/>
  <c r="CS10" i="7" a="1"/>
  <c r="W10" i="7" a="1"/>
  <c r="CH10" i="7" a="1"/>
  <c r="U10" i="7" a="1"/>
  <c r="EA10" i="7" a="1"/>
  <c r="DW10" i="7" a="1"/>
  <c r="AT10" i="7" a="1"/>
  <c r="AS10" i="7" a="1"/>
  <c r="AS10" i="7" s="1"/>
  <c r="AN10" i="7" a="1"/>
  <c r="AN10" i="7" s="1"/>
  <c r="BM10" i="7" a="1"/>
  <c r="BM10" i="7" s="1"/>
  <c r="CD10" i="7" a="1"/>
  <c r="BR10" i="7" a="1"/>
  <c r="BR10" i="7" s="1"/>
  <c r="FX10" i="7" a="1"/>
  <c r="DK10" i="7" a="1"/>
  <c r="DG10" i="7" a="1"/>
  <c r="AD10" i="7" a="1"/>
  <c r="CO10" i="7" a="1"/>
  <c r="DV10" i="7" a="1"/>
  <c r="DP10" i="7" a="1"/>
  <c r="CG10" i="7" a="1"/>
  <c r="GM10" i="7" a="1"/>
  <c r="DF10" i="7" a="1"/>
  <c r="CZ10" i="7" a="1"/>
  <c r="BQ10" i="7" a="1"/>
  <c r="FS10" i="7" a="1"/>
  <c r="X10" i="7" a="1"/>
  <c r="X10" i="7" s="1"/>
  <c r="AG10" i="7" a="1"/>
  <c r="AG10" i="7" s="1"/>
  <c r="FU10" i="7" a="1"/>
  <c r="BB10" i="7" a="1"/>
  <c r="BB10" i="7" s="1"/>
  <c r="FH10" i="7" a="1"/>
  <c r="CU10" i="7" a="1"/>
  <c r="CQ10" i="7" a="1"/>
  <c r="AR10" i="7" a="1"/>
  <c r="EK10" i="7" a="1"/>
  <c r="GL10" i="7" a="1"/>
  <c r="GJ10" i="7" a="1"/>
  <c r="DY10" i="7" a="1"/>
  <c r="AL10" i="7" a="1"/>
  <c r="ER10" i="7" a="1"/>
  <c r="CE10" i="7" a="1"/>
  <c r="CA10" i="7" a="1"/>
  <c r="CN10" i="7" a="1"/>
  <c r="ET10" i="7" a="1"/>
  <c r="FV10" i="7" a="1"/>
  <c r="EN10" i="7" a="1"/>
  <c r="CC10" i="7" a="1"/>
  <c r="V10" i="7" a="1"/>
  <c r="EB10" i="7" a="1"/>
  <c r="BO10" i="7" a="1"/>
  <c r="BK10" i="7" a="1"/>
  <c r="EJ10" i="7" a="1"/>
  <c r="EP10" i="7" a="1"/>
  <c r="BL10" i="7" a="1"/>
  <c r="AW10" i="7" a="1"/>
  <c r="AW10" i="7" s="1"/>
  <c r="FF10" i="7" a="1"/>
  <c r="DL10" i="7" a="1"/>
  <c r="AY10" i="7" a="1"/>
  <c r="AY10" i="7" s="1"/>
  <c r="AU10" i="7" a="1"/>
  <c r="AU10" i="7" s="1"/>
  <c r="GG10" i="7" a="1"/>
  <c r="EF10" i="7" a="1"/>
  <c r="T10" i="7" a="1"/>
  <c r="T10" i="7" s="1"/>
  <c r="CI10" i="7" a="1"/>
  <c r="DZ10" i="7" a="1"/>
  <c r="GA10" i="7" a="1"/>
  <c r="Q10" i="7" a="1"/>
  <c r="FY10" i="7" a="1"/>
  <c r="CV10" i="7" a="1"/>
  <c r="AI10" i="7" a="1"/>
  <c r="AI10" i="7" s="1"/>
  <c r="AE10" i="7" a="1"/>
  <c r="AE10" i="7" s="1"/>
  <c r="DJ10" i="7" a="1"/>
  <c r="FK10" i="7" a="1"/>
  <c r="FT10" i="7" a="1"/>
  <c r="FI10" i="7" a="1"/>
  <c r="CF10" i="7" a="1"/>
  <c r="S10" i="7" a="1"/>
  <c r="S10" i="7" s="1"/>
  <c r="GH10" i="7" a="1"/>
  <c r="BE10" i="7" a="1"/>
  <c r="BE10" i="7" s="1"/>
  <c r="GB10" i="7" a="1"/>
  <c r="CT10" i="7" a="1"/>
  <c r="EU10" i="7" a="1"/>
  <c r="DX10" i="7" a="1"/>
  <c r="ES10" i="7" a="1"/>
  <c r="BP10" i="7" a="1"/>
  <c r="DI10" i="7" a="1"/>
  <c r="FR10" i="7" a="1"/>
  <c r="CR10" i="7" a="1"/>
  <c r="CY10" i="7" a="1"/>
  <c r="FJ10" i="7" a="1"/>
  <c r="CW10" i="7" a="1"/>
  <c r="AF10" i="7" a="1"/>
  <c r="AF10" i="7" s="1"/>
  <c r="GI10" i="7" a="1"/>
  <c r="ED10" i="7" a="1"/>
  <c r="FW10" i="7" a="1"/>
  <c r="CP10" i="7" a="1"/>
  <c r="FL10" i="7" a="1"/>
  <c r="BN10" i="7" a="1"/>
  <c r="EE10" i="7" a="1"/>
  <c r="AV10" i="7" a="1"/>
  <c r="EC10" i="7" a="1"/>
  <c r="AZ10" i="7" a="1"/>
  <c r="FD10" i="7" a="1"/>
  <c r="FB10" i="7" a="1"/>
  <c r="EW10" i="7" a="1"/>
  <c r="EV10" i="7" a="1"/>
  <c r="AX10" i="7" a="1"/>
  <c r="AX10" i="7" s="1"/>
  <c r="DO10" i="7" a="1"/>
  <c r="FZ10" i="7" a="1"/>
  <c r="DM10" i="7" a="1"/>
  <c r="AJ10" i="7" a="1"/>
  <c r="AJ10" i="7" s="1"/>
  <c r="DH10" i="7" a="1"/>
  <c r="EL10" i="7" a="1"/>
  <c r="AH10" i="7" a="1"/>
  <c r="R10" i="7" a="1"/>
  <c r="CJ10" i="7" a="1"/>
  <c r="FE10" i="7" a="1"/>
  <c r="BC10" i="7" a="1"/>
  <c r="BC10" i="7" s="1"/>
  <c r="DN10" i="7" a="1"/>
  <c r="BA10" i="7" a="1"/>
  <c r="FG10" i="7" a="1"/>
  <c r="FC10" i="7" a="1"/>
  <c r="BZ10" i="7" a="1"/>
  <c r="BZ10" i="7" s="1"/>
  <c r="BT10" i="7" a="1"/>
  <c r="BT10" i="7" s="1"/>
  <c r="EO10" i="7" a="1"/>
  <c r="AM10" i="7" a="1"/>
  <c r="AM10" i="7" s="1"/>
  <c r="CX10" i="7" a="1"/>
  <c r="AK10" i="7" a="1"/>
  <c r="EQ10" i="7" a="1"/>
  <c r="EM10" i="7" a="1"/>
  <c r="BJ10" i="7" a="1"/>
  <c r="BS10" i="7" a="1"/>
  <c r="BS10" i="7" s="1"/>
  <c r="GK10" i="7" a="1"/>
  <c r="FI7" i="7" a="1"/>
  <c r="DM7" i="7" a="1"/>
  <c r="DM7" i="7" s="1"/>
  <c r="CG7" i="7" a="1"/>
  <c r="CG7" i="7" s="1"/>
  <c r="BA7" i="7" a="1"/>
  <c r="BA7" i="7" s="1"/>
  <c r="U7" i="7" a="1"/>
  <c r="FH7" i="7" a="1"/>
  <c r="DL7" i="7" a="1"/>
  <c r="DL7" i="7" s="1"/>
  <c r="CF7" i="7" a="1"/>
  <c r="CF7" i="7" s="1"/>
  <c r="AJ7" i="7" a="1"/>
  <c r="AJ7" i="7" s="1"/>
  <c r="DK7" i="7" a="1"/>
  <c r="DK7" i="7" s="1"/>
  <c r="BO7" i="7" a="1"/>
  <c r="AI7" i="7" a="1"/>
  <c r="GK7" i="7" a="1"/>
  <c r="FE7" i="7" a="1"/>
  <c r="CS7" i="7" a="1"/>
  <c r="BM7" i="7" a="1"/>
  <c r="AG7" i="7" a="1"/>
  <c r="AG7" i="7" s="1"/>
  <c r="BL7" i="7" a="1"/>
  <c r="FY7" i="7" a="1"/>
  <c r="EC7" i="7" a="1"/>
  <c r="CW7" i="7" a="1"/>
  <c r="CW7" i="7" s="1"/>
  <c r="BQ7" i="7" a="1"/>
  <c r="BQ7" i="7" s="1"/>
  <c r="AK7" i="7" a="1"/>
  <c r="AK7" i="7" s="1"/>
  <c r="ER7" i="7" a="1"/>
  <c r="ER7" i="7" s="1"/>
  <c r="EB7" i="7" a="1"/>
  <c r="EB7" i="7" s="1"/>
  <c r="BP7" i="7" a="1"/>
  <c r="BP7" i="7" s="1"/>
  <c r="T7" i="7" a="1"/>
  <c r="EA7" i="7" a="1"/>
  <c r="AY7" i="7" a="1"/>
  <c r="AY7" i="7" s="1"/>
  <c r="S7" i="7" a="1"/>
  <c r="DY7" i="7" a="1"/>
  <c r="AW7" i="7" a="1"/>
  <c r="Q7" i="7" a="1"/>
  <c r="Q7" i="7" s="1"/>
  <c r="GJ7" i="7" a="1"/>
  <c r="DX7" i="7" a="1"/>
  <c r="DH7" i="7" a="1"/>
  <c r="DH7" i="7" s="1"/>
  <c r="CB7" i="7" a="1"/>
  <c r="CB7" i="7" s="1"/>
  <c r="ES7" i="7" a="1"/>
  <c r="ES7" i="7" s="1"/>
  <c r="AZ7" i="7" a="1"/>
  <c r="AZ7" i="7" s="1"/>
  <c r="CE7" i="7" a="1"/>
  <c r="CE7" i="7" s="1"/>
  <c r="CC7" i="7" a="1"/>
  <c r="CC7" i="7" s="1"/>
  <c r="AV7" i="7" a="1"/>
  <c r="AV7" i="7" s="1"/>
  <c r="FX7" i="7" a="1"/>
  <c r="CV7" i="7" a="1"/>
  <c r="DI7" i="7" a="1"/>
  <c r="DI7" i="7" s="1"/>
  <c r="EN7" i="7" a="1"/>
  <c r="GM7" i="7" a="1"/>
  <c r="FW7" i="7" a="1"/>
  <c r="FG7" i="7" a="1"/>
  <c r="EQ7" i="7" a="1"/>
  <c r="EQ7" i="7" s="1"/>
  <c r="CU7" i="7" a="1"/>
  <c r="CU7" i="7" s="1"/>
  <c r="FU7" i="7" a="1"/>
  <c r="FD7" i="7" a="1"/>
  <c r="EO7" i="7" a="1"/>
  <c r="EO7" i="7" s="1"/>
  <c r="FT7" i="7" a="1"/>
  <c r="CR7" i="7" a="1"/>
  <c r="CR7" i="7" s="1"/>
  <c r="AF7" i="7" a="1"/>
  <c r="AF7" i="7" s="1"/>
  <c r="GH7" i="7" a="1"/>
  <c r="FR7" i="7" a="1"/>
  <c r="FB7" i="7" a="1"/>
  <c r="EL7" i="7" a="1"/>
  <c r="DV7" i="7" a="1"/>
  <c r="DF7" i="7" a="1"/>
  <c r="CP7" i="7" a="1"/>
  <c r="BZ7" i="7" a="1"/>
  <c r="BJ7" i="7" a="1"/>
  <c r="BJ7" i="7" s="1"/>
  <c r="AT7" i="7" a="1"/>
  <c r="AT7" i="7" s="1"/>
  <c r="AD7" i="7" a="1"/>
  <c r="GG7" i="7" a="1"/>
  <c r="FQ7" i="7" a="1"/>
  <c r="FA7" i="7" a="1"/>
  <c r="EK7" i="7" a="1"/>
  <c r="EK7" i="7" s="1"/>
  <c r="DU7" i="7" a="1"/>
  <c r="DU7" i="7" s="1"/>
  <c r="FP7" i="7" a="1"/>
  <c r="EF7" i="7" a="1"/>
  <c r="CN7" i="7" a="1"/>
  <c r="BF7" i="7" a="1"/>
  <c r="X7" i="7" a="1"/>
  <c r="X7" i="7" s="1"/>
  <c r="FO7" i="7" a="1"/>
  <c r="DW7" i="7" a="1"/>
  <c r="CM7" i="7" a="1"/>
  <c r="CM7" i="7" s="1"/>
  <c r="BE7" i="7" a="1"/>
  <c r="FN7" i="7" a="1"/>
  <c r="DT7" i="7" a="1"/>
  <c r="DT7" i="7" s="1"/>
  <c r="CL7" i="7" a="1"/>
  <c r="CL7" i="7" s="1"/>
  <c r="BD7" i="7" a="1"/>
  <c r="BD7" i="7" s="1"/>
  <c r="CA7" i="7" a="1"/>
  <c r="FM7" i="7" a="1"/>
  <c r="DS7" i="7" a="1"/>
  <c r="DS7" i="7" s="1"/>
  <c r="CK7" i="7" a="1"/>
  <c r="CK7" i="7" s="1"/>
  <c r="AU7" i="7" a="1"/>
  <c r="CJ7" i="7" a="1"/>
  <c r="CJ7" i="7" s="1"/>
  <c r="FC7" i="7" a="1"/>
  <c r="AR7" i="7" a="1"/>
  <c r="EZ7" i="7" a="1"/>
  <c r="BY7" i="7" a="1"/>
  <c r="EY7" i="7" a="1"/>
  <c r="BX7" i="7" a="1"/>
  <c r="BX7" i="7" s="1"/>
  <c r="DE7" i="7" a="1"/>
  <c r="DE7" i="7" s="1"/>
  <c r="AO7" i="7" a="1"/>
  <c r="AO7" i="7" s="1"/>
  <c r="EW7" i="7" a="1"/>
  <c r="BV7" i="7" a="1"/>
  <c r="BV7" i="7" s="1"/>
  <c r="DC7" i="7" a="1"/>
  <c r="DC7" i="7" s="1"/>
  <c r="AE7" i="7" a="1"/>
  <c r="AE7" i="7" s="1"/>
  <c r="DB7" i="7" a="1"/>
  <c r="DB7" i="7" s="1"/>
  <c r="AC7" i="7" a="1"/>
  <c r="AC7" i="7" s="1"/>
  <c r="EJ7" i="7" a="1"/>
  <c r="DA7" i="7" a="1"/>
  <c r="DA7" i="7" s="1"/>
  <c r="CZ7" i="7" a="1"/>
  <c r="CQ7" i="7" a="1"/>
  <c r="CQ7" i="7" s="1"/>
  <c r="FS7" i="7" a="1"/>
  <c r="BG7" i="7" a="1"/>
  <c r="BG7" i="7" s="1"/>
  <c r="FL7" i="7" a="1"/>
  <c r="DR7" i="7" a="1"/>
  <c r="DR7" i="7" s="1"/>
  <c r="AS7" i="7" a="1"/>
  <c r="AS7" i="7" s="1"/>
  <c r="DQ7" i="7" a="1"/>
  <c r="DP7" i="7" a="1"/>
  <c r="DP7" i="7" s="1"/>
  <c r="AQ7" i="7" a="1"/>
  <c r="AQ7" i="7" s="1"/>
  <c r="DG7" i="7" a="1"/>
  <c r="DG7" i="7" s="1"/>
  <c r="AP7" i="7" a="1"/>
  <c r="AP7" i="7" s="1"/>
  <c r="EX7" i="7" a="1"/>
  <c r="BW7" i="7" a="1"/>
  <c r="BW7" i="7" s="1"/>
  <c r="GI7" i="7" a="1"/>
  <c r="DD7" i="7" a="1"/>
  <c r="AN7" i="7" a="1"/>
  <c r="AN7" i="7" s="1"/>
  <c r="GF7" i="7" a="1"/>
  <c r="BU7" i="7" a="1"/>
  <c r="GE7" i="7" a="1"/>
  <c r="BT7" i="7" a="1"/>
  <c r="AB7" i="7" a="1"/>
  <c r="AB7" i="7" s="1"/>
  <c r="GC7" i="7" a="1"/>
  <c r="BI7" i="7" a="1"/>
  <c r="EH7" i="7" a="1"/>
  <c r="EH7" i="7" s="1"/>
  <c r="Z7" i="7" a="1"/>
  <c r="Z7" i="7" s="1"/>
  <c r="CO7" i="7" a="1"/>
  <c r="CO7" i="7" s="1"/>
  <c r="EV7" i="7" a="1"/>
  <c r="EM7" i="7" a="1"/>
  <c r="EM7" i="7" s="1"/>
  <c r="GD7" i="7" a="1"/>
  <c r="BK7" i="7" a="1"/>
  <c r="EI7" i="7" a="1"/>
  <c r="AA7" i="7" a="1"/>
  <c r="GB7" i="7" a="1"/>
  <c r="BH7" i="7" a="1"/>
  <c r="EG7" i="7" a="1"/>
  <c r="Y7" i="7" a="1"/>
  <c r="Y7" i="7" s="1"/>
  <c r="FV7" i="7" a="1"/>
  <c r="BS7" i="7" a="1"/>
  <c r="BS7" i="7" s="1"/>
  <c r="GL7" i="7" a="1"/>
  <c r="CI7" i="7" a="1"/>
  <c r="CI7" i="7" s="1"/>
  <c r="BB7" i="7" a="1"/>
  <c r="BB7" i="7" s="1"/>
  <c r="EE7" i="7" a="1"/>
  <c r="EE7" i="7" s="1"/>
  <c r="FZ7" i="7" a="1"/>
  <c r="V7" i="7" a="1"/>
  <c r="V7" i="7" s="1"/>
  <c r="CY7" i="7" a="1"/>
  <c r="CY7" i="7" s="1"/>
  <c r="AL7" i="7" a="1"/>
  <c r="DO7" i="7" a="1"/>
  <c r="BR7" i="7" a="1"/>
  <c r="BR7" i="7" s="1"/>
  <c r="EU7" i="7" a="1"/>
  <c r="FJ7" i="7" a="1"/>
  <c r="DJ7" i="7" a="1"/>
  <c r="R7" i="7" a="1"/>
  <c r="CH7" i="7" a="1"/>
  <c r="CH7" i="7" s="1"/>
  <c r="FK7" i="7" a="1"/>
  <c r="AH7" i="7" a="1"/>
  <c r="CX7" i="7" a="1"/>
  <c r="CX7" i="7" s="1"/>
  <c r="GA7" i="7" a="1"/>
  <c r="AX7" i="7" a="1"/>
  <c r="AX7" i="7" s="1"/>
  <c r="DN7" i="7" a="1"/>
  <c r="DN7" i="7" s="1"/>
  <c r="CT7" i="7" a="1"/>
  <c r="CT7" i="7" s="1"/>
  <c r="BN7" i="7" a="1"/>
  <c r="BN7" i="7" s="1"/>
  <c r="ED7" i="7" a="1"/>
  <c r="ED7" i="7" s="1"/>
  <c r="CD7" i="7" a="1"/>
  <c r="CD7" i="7" s="1"/>
  <c r="ET7" i="7" a="1"/>
  <c r="EP7" i="7" a="1"/>
  <c r="EP7" i="7" s="1"/>
  <c r="AM7" i="7" a="1"/>
  <c r="FF7" i="7" a="1"/>
  <c r="BC7" i="7" a="1"/>
  <c r="BC7" i="7" s="1"/>
  <c r="W7" i="7" a="1"/>
  <c r="W7" i="7" s="1"/>
  <c r="DZ7" i="7" a="1"/>
  <c r="DZ7" i="7" s="1"/>
  <c r="CB9" i="7"/>
  <c r="CC9" i="7" s="1"/>
  <c r="AR12" i="7"/>
  <c r="N12" i="7" s="1"/>
  <c r="EV6" i="7"/>
  <c r="N6" i="7" s="1"/>
  <c r="AI13" i="7"/>
  <c r="AQ10" i="7"/>
  <c r="EG7" i="7"/>
  <c r="EF7" i="7"/>
  <c r="CZ7" i="7"/>
  <c r="AM7" i="7"/>
  <c r="S7" i="7"/>
  <c r="AL7" i="7"/>
  <c r="BT7" i="7"/>
  <c r="AU7" i="7"/>
  <c r="BI7" i="7"/>
  <c r="ET7" i="7"/>
  <c r="U7" i="7"/>
  <c r="AH7" i="7"/>
  <c r="BO7" i="7"/>
  <c r="BK7" i="7"/>
  <c r="DY7" i="7"/>
  <c r="AR7" i="7"/>
  <c r="DJ7" i="7"/>
  <c r="EC7" i="7"/>
  <c r="DQ7" i="7"/>
  <c r="DX7" i="7"/>
  <c r="AI7" i="7"/>
  <c r="EI7" i="7"/>
  <c r="EA7" i="7"/>
  <c r="R7" i="7"/>
  <c r="DO7" i="7"/>
  <c r="T7" i="7"/>
  <c r="CP7" i="7"/>
  <c r="EN7" i="7"/>
  <c r="CS7" i="7"/>
  <c r="BY7" i="7"/>
  <c r="DF7" i="7"/>
  <c r="DV7" i="7"/>
  <c r="BZ7" i="7"/>
  <c r="EL7" i="7"/>
  <c r="BL7" i="7"/>
  <c r="BH7" i="7"/>
  <c r="CN7" i="7"/>
  <c r="EJ7" i="7"/>
  <c r="DD7" i="7"/>
  <c r="BU7" i="7"/>
  <c r="AD7" i="7"/>
  <c r="BM7" i="7"/>
  <c r="CV7" i="7"/>
  <c r="DW7" i="7"/>
  <c r="BE7" i="7"/>
  <c r="AA7" i="7"/>
  <c r="CA7" i="7"/>
  <c r="AW7" i="7"/>
  <c r="BF7" i="7"/>
  <c r="Z10" i="7"/>
  <c r="Q13" i="7"/>
  <c r="AZ10" i="7"/>
  <c r="AH13" i="7"/>
  <c r="R10" i="7"/>
  <c r="V10" i="7"/>
  <c r="AR10" i="7"/>
  <c r="AT10" i="7"/>
  <c r="T13" i="7"/>
  <c r="AL10" i="7"/>
  <c r="AA10" i="7"/>
  <c r="BO10" i="7"/>
  <c r="W10" i="7"/>
  <c r="BD10" i="7"/>
  <c r="U10" i="7"/>
  <c r="AC10" i="7"/>
  <c r="AK10" i="7"/>
  <c r="BA10" i="7"/>
  <c r="BI10" i="7"/>
  <c r="BQ10" i="7"/>
  <c r="BY10" i="7"/>
  <c r="AD10" i="7"/>
  <c r="Z13" i="7"/>
  <c r="AV10" i="7"/>
  <c r="AB10" i="7"/>
  <c r="BJ10" i="7"/>
  <c r="AS12" i="7"/>
  <c r="BP10" i="7"/>
  <c r="Q10" i="7"/>
  <c r="BN10" i="7"/>
  <c r="AH10" i="7"/>
  <c r="AD13" i="7"/>
  <c r="AA13" i="7"/>
  <c r="AK13" i="7"/>
  <c r="AL13" i="7"/>
  <c r="R13" i="7"/>
  <c r="S13" i="7"/>
  <c r="V13" i="7"/>
  <c r="U13" i="7"/>
  <c r="AF13" i="7"/>
  <c r="AE13" i="7"/>
  <c r="W13" i="7"/>
  <c r="AN13" i="7"/>
  <c r="AB13" i="7"/>
  <c r="AC13" i="7"/>
  <c r="X13" i="7"/>
  <c r="BK10" i="7"/>
  <c r="BL10" i="7"/>
  <c r="BG10" i="7"/>
  <c r="EW6" i="7"/>
  <c r="EX6" i="7" s="1"/>
  <c r="N9" i="7"/>
  <c r="AT12" i="7"/>
  <c r="AU12" i="7" s="1"/>
  <c r="AV12" i="7" s="1"/>
  <c r="CD9" i="7"/>
  <c r="EU7" i="7" l="1"/>
  <c r="AQ13" i="7"/>
  <c r="AP13" i="7"/>
  <c r="EY6" i="7"/>
  <c r="EZ6" i="7" s="1"/>
  <c r="AW12" i="7"/>
  <c r="AX12" i="7" s="1"/>
  <c r="CE9" i="7"/>
  <c r="CF9" i="7" s="1"/>
  <c r="CB10" i="7" l="1"/>
  <c r="CA10" i="7"/>
  <c r="AS13" i="7"/>
  <c r="AR13" i="7"/>
  <c r="N13" i="7" s="1"/>
  <c r="EV7" i="7"/>
  <c r="N7" i="7" s="1"/>
  <c r="EX7" i="7"/>
  <c r="EW7" i="7"/>
  <c r="FA6" i="7"/>
  <c r="FB6" i="7" s="1"/>
  <c r="CG9" i="7"/>
  <c r="AY12" i="7"/>
  <c r="AZ12" i="7"/>
  <c r="CC10" i="7" l="1"/>
  <c r="AT13" i="7"/>
  <c r="FC6" i="7"/>
  <c r="CH9" i="7"/>
  <c r="BA12" i="7"/>
  <c r="CE10" i="7" l="1"/>
  <c r="AU13" i="7"/>
  <c r="EY7" i="7"/>
  <c r="CF10" i="7"/>
  <c r="CD10" i="7"/>
  <c r="FD6" i="7"/>
  <c r="FE6" i="7" s="1"/>
  <c r="FF6" i="7" s="1"/>
  <c r="FG6" i="7" s="1"/>
  <c r="FH6" i="7" s="1"/>
  <c r="FI6" i="7" s="1"/>
  <c r="FJ6" i="7" s="1"/>
  <c r="FK6" i="7" s="1"/>
  <c r="FL6" i="7" s="1"/>
  <c r="FM6" i="7" s="1"/>
  <c r="FN6" i="7" s="1"/>
  <c r="FO6" i="7" s="1"/>
  <c r="FP6" i="7" s="1"/>
  <c r="FQ6" i="7" s="1"/>
  <c r="FR6" i="7" s="1"/>
  <c r="FS6" i="7" s="1"/>
  <c r="FT6" i="7" s="1"/>
  <c r="FU6" i="7" s="1"/>
  <c r="FV6" i="7" s="1"/>
  <c r="FW6" i="7" s="1"/>
  <c r="FX6" i="7" s="1"/>
  <c r="FY6" i="7" s="1"/>
  <c r="FZ6" i="7" s="1"/>
  <c r="GA6" i="7" s="1"/>
  <c r="GB6" i="7" s="1"/>
  <c r="GC6" i="7" s="1"/>
  <c r="GD6" i="7" s="1"/>
  <c r="GE6" i="7" s="1"/>
  <c r="GF6" i="7" s="1"/>
  <c r="GG6" i="7" s="1"/>
  <c r="GH6" i="7" s="1"/>
  <c r="GI6" i="7" s="1"/>
  <c r="GJ6" i="7" s="1"/>
  <c r="GK6" i="7" s="1"/>
  <c r="GL6" i="7" s="1"/>
  <c r="GM6" i="7" s="1"/>
  <c r="CI9" i="7"/>
  <c r="BB12" i="7"/>
  <c r="CH10" i="7" l="1"/>
  <c r="EZ7" i="7"/>
  <c r="FA7" i="7"/>
  <c r="CG10" i="7"/>
  <c r="AV13" i="7"/>
  <c r="BC12" i="7"/>
  <c r="BD12" i="7" s="1"/>
  <c r="BE12" i="7" s="1"/>
  <c r="BF12" i="7" s="1"/>
  <c r="BG12" i="7" s="1"/>
  <c r="BH12" i="7" s="1"/>
  <c r="BI12" i="7" s="1"/>
  <c r="BJ12" i="7" s="1"/>
  <c r="BK12" i="7" s="1"/>
  <c r="BL12" i="7" s="1"/>
  <c r="BM12" i="7" s="1"/>
  <c r="BN12" i="7" s="1"/>
  <c r="BO12" i="7" s="1"/>
  <c r="BP12" i="7" s="1"/>
  <c r="BQ12" i="7" s="1"/>
  <c r="BR12" i="7" s="1"/>
  <c r="BS12" i="7" s="1"/>
  <c r="BT12" i="7" s="1"/>
  <c r="BU12" i="7" s="1"/>
  <c r="BV12" i="7" s="1"/>
  <c r="BW12" i="7" s="1"/>
  <c r="BX12" i="7" s="1"/>
  <c r="BY12" i="7" s="1"/>
  <c r="BZ12" i="7" s="1"/>
  <c r="CA12" i="7" s="1"/>
  <c r="CB12" i="7" s="1"/>
  <c r="CC12" i="7" s="1"/>
  <c r="CD12" i="7" s="1"/>
  <c r="CE12" i="7" s="1"/>
  <c r="CF12" i="7" s="1"/>
  <c r="CG12" i="7" s="1"/>
  <c r="CH12" i="7" s="1"/>
  <c r="CI12" i="7" s="1"/>
  <c r="CJ12" i="7" s="1"/>
  <c r="CK12" i="7" s="1"/>
  <c r="CL12" i="7" s="1"/>
  <c r="CM12" i="7" s="1"/>
  <c r="CN12" i="7" s="1"/>
  <c r="CO12" i="7" s="1"/>
  <c r="CP12" i="7" s="1"/>
  <c r="CQ12" i="7" s="1"/>
  <c r="CR12" i="7" s="1"/>
  <c r="CS12" i="7" s="1"/>
  <c r="CT12" i="7" s="1"/>
  <c r="CU12" i="7" s="1"/>
  <c r="CV12" i="7" s="1"/>
  <c r="CW12" i="7" s="1"/>
  <c r="CX12" i="7" s="1"/>
  <c r="CY12" i="7" s="1"/>
  <c r="CZ12" i="7" s="1"/>
  <c r="DA12" i="7" s="1"/>
  <c r="DB12" i="7" s="1"/>
  <c r="DC12" i="7" s="1"/>
  <c r="DD12" i="7" s="1"/>
  <c r="DE12" i="7" s="1"/>
  <c r="DF12" i="7" s="1"/>
  <c r="DG12" i="7" s="1"/>
  <c r="DH12" i="7" s="1"/>
  <c r="DI12" i="7" s="1"/>
  <c r="DJ12" i="7" s="1"/>
  <c r="DK12" i="7" s="1"/>
  <c r="DL12" i="7" s="1"/>
  <c r="DM12" i="7" s="1"/>
  <c r="DN12" i="7" s="1"/>
  <c r="DO12" i="7" s="1"/>
  <c r="DP12" i="7" s="1"/>
  <c r="DQ12" i="7" s="1"/>
  <c r="DR12" i="7" s="1"/>
  <c r="DS12" i="7" s="1"/>
  <c r="DT12" i="7" s="1"/>
  <c r="DU12" i="7" s="1"/>
  <c r="DV12" i="7" s="1"/>
  <c r="DW12" i="7" s="1"/>
  <c r="DX12" i="7" s="1"/>
  <c r="DY12" i="7" s="1"/>
  <c r="DZ12" i="7" s="1"/>
  <c r="EA12" i="7" s="1"/>
  <c r="EB12" i="7" s="1"/>
  <c r="EC12" i="7" s="1"/>
  <c r="ED12" i="7" s="1"/>
  <c r="EE12" i="7" s="1"/>
  <c r="EF12" i="7" s="1"/>
  <c r="EG12" i="7" s="1"/>
  <c r="EH12" i="7" s="1"/>
  <c r="EI12" i="7" s="1"/>
  <c r="EJ12" i="7" s="1"/>
  <c r="EK12" i="7" s="1"/>
  <c r="EL12" i="7" s="1"/>
  <c r="EM12" i="7" s="1"/>
  <c r="EN12" i="7" s="1"/>
  <c r="EO12" i="7" s="1"/>
  <c r="EP12" i="7" s="1"/>
  <c r="EQ12" i="7" s="1"/>
  <c r="ER12" i="7" s="1"/>
  <c r="ES12" i="7" s="1"/>
  <c r="ET12" i="7" s="1"/>
  <c r="EU12" i="7" s="1"/>
  <c r="EV12" i="7" s="1"/>
  <c r="EW12" i="7" s="1"/>
  <c r="EX12" i="7" s="1"/>
  <c r="EY12" i="7" s="1"/>
  <c r="EZ12" i="7" s="1"/>
  <c r="FA12" i="7" s="1"/>
  <c r="FB12" i="7" s="1"/>
  <c r="FC12" i="7" s="1"/>
  <c r="FD12" i="7" s="1"/>
  <c r="FE12" i="7" s="1"/>
  <c r="FF12" i="7" s="1"/>
  <c r="FG12" i="7" s="1"/>
  <c r="FH12" i="7" s="1"/>
  <c r="FI12" i="7" s="1"/>
  <c r="FJ12" i="7" s="1"/>
  <c r="FK12" i="7" s="1"/>
  <c r="FL12" i="7" s="1"/>
  <c r="FM12" i="7" s="1"/>
  <c r="FN12" i="7" s="1"/>
  <c r="FO12" i="7" s="1"/>
  <c r="FP12" i="7" s="1"/>
  <c r="FQ12" i="7" s="1"/>
  <c r="FR12" i="7" s="1"/>
  <c r="FS12" i="7" s="1"/>
  <c r="FT12" i="7" s="1"/>
  <c r="FU12" i="7" s="1"/>
  <c r="FV12" i="7" s="1"/>
  <c r="FW12" i="7" s="1"/>
  <c r="FX12" i="7" s="1"/>
  <c r="FY12" i="7" s="1"/>
  <c r="FZ12" i="7" s="1"/>
  <c r="GA12" i="7" s="1"/>
  <c r="GB12" i="7" s="1"/>
  <c r="GC12" i="7" s="1"/>
  <c r="GD12" i="7" s="1"/>
  <c r="GE12" i="7" s="1"/>
  <c r="GF12" i="7" s="1"/>
  <c r="GG12" i="7" s="1"/>
  <c r="GH12" i="7" s="1"/>
  <c r="GI12" i="7" s="1"/>
  <c r="GJ12" i="7" s="1"/>
  <c r="GK12" i="7" s="1"/>
  <c r="GL12" i="7" s="1"/>
  <c r="GM12" i="7" s="1"/>
  <c r="CJ9" i="7"/>
  <c r="CK9" i="7" s="1"/>
  <c r="CL9" i="7" s="1"/>
  <c r="CM9" i="7" s="1"/>
  <c r="CN9" i="7" s="1"/>
  <c r="CO9" i="7" s="1"/>
  <c r="CP9" i="7" s="1"/>
  <c r="CQ9" i="7" s="1"/>
  <c r="CR9" i="7" s="1"/>
  <c r="CS9" i="7" s="1"/>
  <c r="CT9" i="7" s="1"/>
  <c r="CU9" i="7" s="1"/>
  <c r="CV9" i="7" s="1"/>
  <c r="CW9" i="7" s="1"/>
  <c r="CX9" i="7" s="1"/>
  <c r="CY9" i="7" s="1"/>
  <c r="CZ9" i="7" s="1"/>
  <c r="DA9" i="7" s="1"/>
  <c r="DB9" i="7" s="1"/>
  <c r="DC9" i="7" s="1"/>
  <c r="DD9" i="7" s="1"/>
  <c r="DE9" i="7" s="1"/>
  <c r="DF9" i="7" s="1"/>
  <c r="DG9" i="7" s="1"/>
  <c r="DH9" i="7" s="1"/>
  <c r="DI9" i="7" s="1"/>
  <c r="DJ9" i="7" s="1"/>
  <c r="DK9" i="7" s="1"/>
  <c r="DL9" i="7" s="1"/>
  <c r="DM9" i="7" s="1"/>
  <c r="DN9" i="7" s="1"/>
  <c r="DO9" i="7" s="1"/>
  <c r="DP9" i="7" s="1"/>
  <c r="DQ9" i="7" s="1"/>
  <c r="DR9" i="7" s="1"/>
  <c r="DS9" i="7" s="1"/>
  <c r="DT9" i="7" s="1"/>
  <c r="DU9" i="7" s="1"/>
  <c r="DV9" i="7" s="1"/>
  <c r="DW9" i="7" s="1"/>
  <c r="DX9" i="7" s="1"/>
  <c r="DY9" i="7" s="1"/>
  <c r="DZ9" i="7" s="1"/>
  <c r="EA9" i="7" s="1"/>
  <c r="EB9" i="7" s="1"/>
  <c r="EC9" i="7" s="1"/>
  <c r="ED9" i="7" s="1"/>
  <c r="EE9" i="7" s="1"/>
  <c r="EF9" i="7" s="1"/>
  <c r="EG9" i="7" s="1"/>
  <c r="EH9" i="7" s="1"/>
  <c r="EI9" i="7" s="1"/>
  <c r="EJ9" i="7" s="1"/>
  <c r="EK9" i="7" s="1"/>
  <c r="EL9" i="7" s="1"/>
  <c r="EM9" i="7" s="1"/>
  <c r="EN9" i="7" s="1"/>
  <c r="EO9" i="7" s="1"/>
  <c r="EP9" i="7" s="1"/>
  <c r="EQ9" i="7" s="1"/>
  <c r="ER9" i="7" s="1"/>
  <c r="ES9" i="7" s="1"/>
  <c r="ET9" i="7" s="1"/>
  <c r="EU9" i="7" s="1"/>
  <c r="EV9" i="7" s="1"/>
  <c r="EW9" i="7" s="1"/>
  <c r="EX9" i="7" s="1"/>
  <c r="EY9" i="7" s="1"/>
  <c r="EZ9" i="7" s="1"/>
  <c r="FA9" i="7" s="1"/>
  <c r="FB9" i="7" s="1"/>
  <c r="FC9" i="7" s="1"/>
  <c r="FD9" i="7" s="1"/>
  <c r="FE9" i="7" s="1"/>
  <c r="FF9" i="7" s="1"/>
  <c r="FG9" i="7" s="1"/>
  <c r="FH9" i="7" s="1"/>
  <c r="FI9" i="7" s="1"/>
  <c r="FJ9" i="7" s="1"/>
  <c r="FK9" i="7" s="1"/>
  <c r="FL9" i="7" s="1"/>
  <c r="FM9" i="7" s="1"/>
  <c r="FN9" i="7" s="1"/>
  <c r="FO9" i="7" s="1"/>
  <c r="FP9" i="7" s="1"/>
  <c r="FQ9" i="7" s="1"/>
  <c r="FR9" i="7" s="1"/>
  <c r="FS9" i="7" s="1"/>
  <c r="FT9" i="7" s="1"/>
  <c r="FU9" i="7" s="1"/>
  <c r="FV9" i="7" s="1"/>
  <c r="FW9" i="7" s="1"/>
  <c r="FX9" i="7" s="1"/>
  <c r="FY9" i="7" s="1"/>
  <c r="FZ9" i="7" s="1"/>
  <c r="GA9" i="7" s="1"/>
  <c r="GB9" i="7" s="1"/>
  <c r="GC9" i="7" s="1"/>
  <c r="GD9" i="7" s="1"/>
  <c r="GE9" i="7" s="1"/>
  <c r="GF9" i="7" s="1"/>
  <c r="GG9" i="7" s="1"/>
  <c r="GH9" i="7" s="1"/>
  <c r="GI9" i="7" s="1"/>
  <c r="GJ9" i="7" s="1"/>
  <c r="GK9" i="7" s="1"/>
  <c r="GL9" i="7" s="1"/>
  <c r="GM9" i="7" s="1"/>
  <c r="FB7" i="7" l="1"/>
  <c r="AW13" i="7"/>
  <c r="AX13" i="7"/>
  <c r="FC7" i="7" l="1"/>
  <c r="CI10" i="7"/>
  <c r="FD7" i="7"/>
  <c r="FE7" i="7"/>
  <c r="AY13" i="7"/>
  <c r="FF7" i="7" l="1"/>
  <c r="CJ10" i="7"/>
  <c r="AZ13" i="7"/>
  <c r="CK10" i="7" l="1"/>
  <c r="BA13" i="7"/>
  <c r="FG7" i="7"/>
  <c r="FH7" i="7" l="1"/>
  <c r="BB13" i="7"/>
  <c r="CL10" i="7"/>
  <c r="CM10" i="7" l="1"/>
  <c r="BC13" i="7"/>
  <c r="FI7" i="7"/>
  <c r="FJ7" i="7" l="1"/>
  <c r="BD13" i="7"/>
  <c r="CN10" i="7"/>
  <c r="CO10" i="7" l="1"/>
  <c r="BE13" i="7"/>
  <c r="FK7" i="7"/>
  <c r="FL7" i="7" l="1"/>
  <c r="BF13" i="7"/>
  <c r="CP10" i="7"/>
  <c r="CQ10" i="7" l="1"/>
  <c r="BG13" i="7"/>
  <c r="FM7" i="7"/>
  <c r="FN7" i="7" l="1"/>
  <c r="BH13" i="7"/>
  <c r="CR10" i="7"/>
  <c r="CS10" i="7" l="1"/>
  <c r="BI13" i="7"/>
  <c r="FO7" i="7"/>
  <c r="FP7" i="7" l="1"/>
  <c r="BJ13" i="7"/>
  <c r="CT10" i="7"/>
  <c r="CU10" i="7" l="1"/>
  <c r="BK13" i="7"/>
  <c r="FQ7" i="7"/>
  <c r="FR7" i="7" l="1"/>
  <c r="BL13" i="7"/>
  <c r="CV10" i="7"/>
  <c r="CW10" i="7" l="1"/>
  <c r="BM13" i="7"/>
  <c r="FS7" i="7"/>
  <c r="FT7" i="7" l="1"/>
  <c r="BN13" i="7"/>
  <c r="CX10" i="7"/>
  <c r="CY10" i="7" l="1"/>
  <c r="BO13" i="7"/>
  <c r="FU7" i="7"/>
  <c r="FV7" i="7" l="1"/>
  <c r="BP13" i="7"/>
  <c r="CZ10" i="7"/>
  <c r="DA10" i="7" l="1"/>
  <c r="BQ13" i="7"/>
  <c r="FW7" i="7"/>
  <c r="FX7" i="7" l="1"/>
  <c r="BR13" i="7"/>
  <c r="DB10" i="7"/>
  <c r="DC10" i="7" l="1"/>
  <c r="BS13" i="7"/>
  <c r="FY7" i="7"/>
  <c r="FZ7" i="7" l="1"/>
  <c r="BT13" i="7"/>
  <c r="DD10" i="7"/>
  <c r="DE10" i="7" l="1"/>
  <c r="BU13" i="7"/>
  <c r="GA7" i="7"/>
  <c r="GB7" i="7" l="1"/>
  <c r="BV13" i="7"/>
  <c r="DF10" i="7"/>
  <c r="DG10" i="7" l="1"/>
  <c r="BW13" i="7"/>
  <c r="GC7" i="7"/>
  <c r="GD7" i="7" l="1"/>
  <c r="BX13" i="7"/>
  <c r="DH10" i="7"/>
  <c r="DI10" i="7" l="1"/>
  <c r="BY13" i="7"/>
  <c r="GE7" i="7"/>
  <c r="GF7" i="7" l="1"/>
  <c r="BZ13" i="7"/>
  <c r="DJ10" i="7"/>
  <c r="DK10" i="7" l="1"/>
  <c r="CA13" i="7"/>
  <c r="GG7" i="7"/>
  <c r="GH7" i="7" l="1"/>
  <c r="CB13" i="7"/>
  <c r="DL10" i="7"/>
  <c r="DM10" i="7" l="1"/>
  <c r="CC13" i="7"/>
  <c r="GI7" i="7"/>
  <c r="GJ7" i="7" l="1"/>
  <c r="CD13" i="7"/>
  <c r="DN10" i="7"/>
  <c r="DO10" i="7" l="1"/>
  <c r="CE13" i="7"/>
  <c r="GK7" i="7"/>
  <c r="GL7" i="7" l="1"/>
  <c r="CF13" i="7"/>
  <c r="DP10" i="7"/>
  <c r="DQ10" i="7" l="1"/>
  <c r="CG13" i="7"/>
  <c r="GM7" i="7"/>
  <c r="CH13" i="7" l="1"/>
  <c r="DR10" i="7"/>
  <c r="DS10" i="7" l="1"/>
  <c r="CI13" i="7"/>
  <c r="CJ13" i="7" l="1"/>
  <c r="DT10" i="7"/>
  <c r="DU10" i="7" l="1"/>
  <c r="CK13" i="7"/>
  <c r="CL13" i="7" l="1"/>
  <c r="DV10" i="7"/>
  <c r="DW10" i="7" l="1"/>
  <c r="CM13" i="7"/>
  <c r="CN13" i="7" l="1"/>
  <c r="DX10" i="7"/>
  <c r="DY10" i="7" l="1"/>
  <c r="CO13" i="7"/>
  <c r="CP13" i="7" l="1"/>
  <c r="DZ10" i="7"/>
  <c r="EA10" i="7" l="1"/>
  <c r="CQ13" i="7"/>
  <c r="CR13" i="7" l="1"/>
  <c r="EB10" i="7"/>
  <c r="EC10" i="7" l="1"/>
  <c r="CS13" i="7"/>
  <c r="CT13" i="7" l="1"/>
  <c r="ED10" i="7"/>
  <c r="EE10" i="7" l="1"/>
  <c r="CU13" i="7"/>
  <c r="CV13" i="7" l="1"/>
  <c r="EF10" i="7"/>
  <c r="EG10" i="7" l="1"/>
  <c r="CW13" i="7"/>
  <c r="CX13" i="7" l="1"/>
  <c r="EH10" i="7"/>
  <c r="EI10" i="7" l="1"/>
  <c r="CY13" i="7"/>
  <c r="CZ13" i="7" l="1"/>
  <c r="EJ10" i="7"/>
  <c r="EK10" i="7" l="1"/>
  <c r="DA13" i="7"/>
  <c r="DB13" i="7" l="1"/>
  <c r="EL10" i="7"/>
  <c r="EM10" i="7" l="1"/>
  <c r="DC13" i="7"/>
  <c r="DD13" i="7" l="1"/>
  <c r="EN10" i="7"/>
  <c r="EO10" i="7" l="1"/>
  <c r="DE13" i="7"/>
  <c r="DF13" i="7" l="1"/>
  <c r="EP10" i="7"/>
  <c r="EQ10" i="7" l="1"/>
  <c r="DG13" i="7"/>
  <c r="DH13" i="7" l="1"/>
  <c r="ER10" i="7"/>
  <c r="ES10" i="7" l="1"/>
  <c r="DI13" i="7"/>
  <c r="DJ13" i="7" l="1"/>
  <c r="ET10" i="7"/>
  <c r="EU10" i="7" l="1"/>
  <c r="DK13" i="7"/>
  <c r="DL13" i="7" l="1"/>
  <c r="EV10" i="7"/>
  <c r="EW10" i="7" l="1"/>
  <c r="DM13" i="7"/>
  <c r="DN13" i="7" l="1"/>
  <c r="EX10" i="7"/>
  <c r="EY10" i="7" l="1"/>
  <c r="DO13" i="7"/>
  <c r="DP13" i="7" l="1"/>
  <c r="EZ10" i="7"/>
  <c r="FA10" i="7" l="1"/>
  <c r="DQ13" i="7"/>
  <c r="DR13" i="7" l="1"/>
  <c r="FB10" i="7"/>
  <c r="FC10" i="7" l="1"/>
  <c r="DS13" i="7"/>
  <c r="DT13" i="7" l="1"/>
  <c r="FD10" i="7"/>
  <c r="FE10" i="7" l="1"/>
  <c r="DU13" i="7"/>
  <c r="DV13" i="7" l="1"/>
  <c r="FF10" i="7"/>
  <c r="FG10" i="7" l="1"/>
  <c r="DW13" i="7"/>
  <c r="DX13" i="7" l="1"/>
  <c r="FH10" i="7"/>
  <c r="FI10" i="7" l="1"/>
  <c r="DY13" i="7"/>
  <c r="DZ13" i="7" l="1"/>
  <c r="FJ10" i="7"/>
  <c r="FK10" i="7" l="1"/>
  <c r="EA13" i="7"/>
  <c r="EB13" i="7" l="1"/>
  <c r="FL10" i="7"/>
  <c r="FM10" i="7" l="1"/>
  <c r="EC13" i="7"/>
  <c r="ED13" i="7" l="1"/>
  <c r="FN10" i="7"/>
  <c r="FO10" i="7" l="1"/>
  <c r="EE13" i="7"/>
  <c r="EF13" i="7" l="1"/>
  <c r="FP10" i="7"/>
  <c r="FQ10" i="7" l="1"/>
  <c r="EG13" i="7"/>
  <c r="EH13" i="7" l="1"/>
  <c r="FR10" i="7"/>
  <c r="FS10" i="7" l="1"/>
  <c r="EI13" i="7"/>
  <c r="EJ13" i="7" l="1"/>
  <c r="FT10" i="7"/>
  <c r="FU10" i="7" l="1"/>
  <c r="EK13" i="7"/>
  <c r="EL13" i="7" l="1"/>
  <c r="FV10" i="7"/>
  <c r="FW10" i="7" l="1"/>
  <c r="EM13" i="7"/>
  <c r="EN13" i="7" l="1"/>
  <c r="FX10" i="7"/>
  <c r="FY10" i="7" l="1"/>
  <c r="EO13" i="7"/>
  <c r="EP13" i="7" l="1"/>
  <c r="FZ10" i="7"/>
  <c r="GA10" i="7" l="1"/>
  <c r="EQ13" i="7"/>
  <c r="ER13" i="7" l="1"/>
  <c r="GB10" i="7"/>
  <c r="GC10" i="7" l="1"/>
  <c r="ES13" i="7"/>
  <c r="ET13" i="7" l="1"/>
  <c r="GD10" i="7"/>
  <c r="GE10" i="7" l="1"/>
  <c r="EU13" i="7"/>
  <c r="EV13" i="7" l="1"/>
  <c r="GF10" i="7"/>
  <c r="GG10" i="7" l="1"/>
  <c r="EW13" i="7"/>
  <c r="EX13" i="7" l="1"/>
  <c r="GH10" i="7"/>
  <c r="GI10" i="7" l="1"/>
  <c r="EY13" i="7"/>
  <c r="EZ13" i="7" l="1"/>
  <c r="GJ10" i="7"/>
  <c r="GK10" i="7" l="1"/>
  <c r="FA13" i="7"/>
  <c r="FB13" i="7" l="1"/>
  <c r="GL10" i="7"/>
  <c r="GM10" i="7" l="1"/>
  <c r="FC13" i="7"/>
  <c r="FD13" i="7" l="1"/>
  <c r="FE13" i="7" l="1"/>
  <c r="FF13" i="7" l="1"/>
  <c r="FG13" i="7" l="1"/>
  <c r="FH13" i="7" l="1"/>
  <c r="FI13" i="7" l="1"/>
  <c r="FJ13" i="7" l="1"/>
  <c r="FK13" i="7" l="1"/>
  <c r="FL13" i="7" l="1"/>
  <c r="FM13" i="7" l="1"/>
  <c r="FN13" i="7" l="1"/>
  <c r="FO13" i="7" l="1"/>
  <c r="FP13" i="7" l="1"/>
  <c r="FQ13" i="7" l="1"/>
  <c r="FR13" i="7" l="1"/>
  <c r="FS13" i="7" l="1"/>
  <c r="FT13" i="7" l="1"/>
  <c r="FU13" i="7" l="1"/>
  <c r="FV13" i="7" l="1"/>
  <c r="FW13" i="7" l="1"/>
  <c r="FX13" i="7" l="1"/>
  <c r="FY13" i="7" l="1"/>
  <c r="FZ13" i="7" l="1"/>
  <c r="GA13" i="7" l="1"/>
  <c r="GB13" i="7" l="1"/>
  <c r="GC13" i="7" l="1"/>
  <c r="GD13" i="7" l="1"/>
  <c r="GE13" i="7" l="1"/>
  <c r="GF13" i="7" l="1"/>
  <c r="GG13" i="7" l="1"/>
  <c r="GH13" i="7" l="1"/>
  <c r="GI13" i="7" l="1"/>
  <c r="GJ13" i="7" l="1"/>
  <c r="GK13" i="7" l="1"/>
  <c r="GL13" i="7" l="1"/>
  <c r="GM13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EDY</author>
  </authors>
  <commentList>
    <comment ref="F4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EDY:</t>
        </r>
        <r>
          <rPr>
            <sz val="9"/>
            <rFont val="宋体"/>
            <family val="3"/>
            <charset val="134"/>
          </rPr>
          <t xml:space="preserve">
按照30天平均日销计算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<sst xmlns="http://schemas.openxmlformats.org/spreadsheetml/2006/main" count="38" uniqueCount="26">
  <si>
    <t>项目</t>
  </si>
  <si>
    <t>0-30天新品期</t>
  </si>
  <si>
    <t>31-120天热销期</t>
  </si>
  <si>
    <t>121-180天清货期</t>
  </si>
  <si>
    <t>SKC</t>
  </si>
  <si>
    <t>上架时间</t>
  </si>
  <si>
    <t>已上架天数</t>
  </si>
  <si>
    <t>销售周期标签</t>
  </si>
  <si>
    <t>库存</t>
  </si>
  <si>
    <t>可售周期</t>
  </si>
  <si>
    <t>累计销量</t>
  </si>
  <si>
    <t>达成比例</t>
  </si>
  <si>
    <t>昨日销售达成情况</t>
  </si>
  <si>
    <t>7天销售达成情况</t>
  </si>
  <si>
    <t>30天销售达成情况</t>
  </si>
  <si>
    <t>订货数量</t>
  </si>
  <si>
    <t>今日计划销售数量</t>
  </si>
  <si>
    <t>ABCW011-1</t>
  </si>
  <si>
    <t>ABAV085-3</t>
  </si>
  <si>
    <t>ABPV009-6</t>
  </si>
  <si>
    <t>ABAV045-2</t>
  </si>
  <si>
    <t>销售计划（销售后）</t>
  </si>
  <si>
    <t>昨日实际销售</t>
  </si>
  <si>
    <t>销售计划</t>
  </si>
  <si>
    <t>实际销售</t>
  </si>
  <si>
    <t>销售计划（有销售后）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</si>
</sst>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0_);[Red]\(0\)"/>
    <numFmt numFmtId="179" formatCode="0_ "/>
  </numFmts>
  <fonts count="8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4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distributed" vertical="center"/>
    </xf>
    <xf numFmtId="0" fontId="0" fillId="0" borderId="0" xfId="0" applyAlignment="1">
      <alignment horizontal="center" vertical="center" wrapText="1"/>
    </xf>
    <xf numFmtId="179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distributed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78" fontId="1" fillId="6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distributed" vertical="center" wrapText="1"/>
    </xf>
    <xf numFmtId="0" fontId="1" fillId="0" borderId="1" xfId="0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>
      <alignment vertical="center"/>
    </xf>
    <xf numFmtId="0" fontId="0" fillId="0" borderId="1" xfId="0" applyNumberFormat="1" applyBorder="1" applyAlignment="1">
      <alignment horizontal="center" vertical="center" wrapText="1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distributed" vertical="top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distributed" vertical="center"/>
    </xf>
    <xf numFmtId="0" fontId="2" fillId="0" borderId="1" xfId="0" applyNumberFormat="1" applyFont="1" applyBorder="1" applyAlignment="1">
      <alignment horizontal="center" vertical="center" wrapText="1"/>
    </xf>
    <xf numFmtId="179" fontId="2" fillId="2" borderId="1" xfId="0" applyNumberFormat="1" applyFont="1" applyFill="1" applyBorder="1" applyAlignment="1">
      <alignment horizontal="center" vertical="center"/>
    </xf>
    <xf numFmtId="179" fontId="2" fillId="2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179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032;&#21697;-&#28909;&#38144;-&#28165;&#36135;&#26399;&#38144;&#21806;&#20998;&#265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计划销售"/>
      <sheetName val="实际销售"/>
      <sheetName val="达成情况"/>
      <sheetName val="库存表"/>
      <sheetName val="销售表"/>
    </sheetNames>
    <sheetDataSet>
      <sheetData sheetId="0"/>
      <sheetData sheetId="1"/>
      <sheetData sheetId="2"/>
      <sheetData sheetId="3"/>
      <sheetData sheetId="4">
        <row r="1">
          <cell r="B1" t="str">
            <v>创建-上架</v>
          </cell>
          <cell r="E1" t="str">
            <v>近7天可取</v>
          </cell>
          <cell r="I1" t="str">
            <v>SKC</v>
          </cell>
          <cell r="J1" t="str">
            <v>销售数量</v>
          </cell>
        </row>
        <row r="2">
          <cell r="B2">
            <v>1</v>
          </cell>
          <cell r="E2" t="str">
            <v>不可取</v>
          </cell>
          <cell r="I2" t="str">
            <v>ABAV085-3</v>
          </cell>
          <cell r="J2">
            <v>10</v>
          </cell>
        </row>
        <row r="3">
          <cell r="B3">
            <v>2</v>
          </cell>
          <cell r="E3" t="str">
            <v>不可取</v>
          </cell>
          <cell r="I3" t="str">
            <v>ABAV085-3</v>
          </cell>
          <cell r="J3">
            <v>15</v>
          </cell>
        </row>
        <row r="4">
          <cell r="B4">
            <v>3</v>
          </cell>
          <cell r="E4" t="str">
            <v>不可取</v>
          </cell>
          <cell r="I4" t="str">
            <v>ABAV085-3</v>
          </cell>
          <cell r="J4">
            <v>10</v>
          </cell>
        </row>
        <row r="5">
          <cell r="B5">
            <v>4</v>
          </cell>
          <cell r="E5" t="str">
            <v>不可取</v>
          </cell>
          <cell r="I5" t="str">
            <v>ABAV085-3</v>
          </cell>
          <cell r="J5">
            <v>11</v>
          </cell>
        </row>
        <row r="6">
          <cell r="B6">
            <v>5</v>
          </cell>
          <cell r="E6" t="str">
            <v>不可取</v>
          </cell>
          <cell r="I6" t="str">
            <v>ABAV085-3</v>
          </cell>
          <cell r="J6">
            <v>12</v>
          </cell>
        </row>
        <row r="7">
          <cell r="B7">
            <v>6</v>
          </cell>
          <cell r="E7" t="str">
            <v>不可取</v>
          </cell>
          <cell r="I7" t="str">
            <v>ABAV085-3</v>
          </cell>
          <cell r="J7">
            <v>13</v>
          </cell>
        </row>
        <row r="8">
          <cell r="B8">
            <v>7</v>
          </cell>
          <cell r="E8" t="str">
            <v>不可取</v>
          </cell>
          <cell r="I8" t="str">
            <v>ABAV085-3</v>
          </cell>
          <cell r="J8">
            <v>7</v>
          </cell>
        </row>
        <row r="9">
          <cell r="B9">
            <v>8</v>
          </cell>
          <cell r="E9" t="str">
            <v>不可取</v>
          </cell>
          <cell r="I9" t="str">
            <v>ABAV085-3</v>
          </cell>
          <cell r="J9">
            <v>8</v>
          </cell>
        </row>
        <row r="10">
          <cell r="B10">
            <v>9</v>
          </cell>
          <cell r="E10" t="str">
            <v>不可取</v>
          </cell>
          <cell r="I10" t="str">
            <v>ABAV085-3</v>
          </cell>
          <cell r="J10">
            <v>9</v>
          </cell>
        </row>
        <row r="11">
          <cell r="B11">
            <v>10</v>
          </cell>
          <cell r="E11" t="str">
            <v>不可取</v>
          </cell>
          <cell r="I11" t="str">
            <v>ABAV085-3</v>
          </cell>
          <cell r="J11">
            <v>10</v>
          </cell>
        </row>
        <row r="12">
          <cell r="B12">
            <v>11</v>
          </cell>
          <cell r="E12" t="str">
            <v>不可取</v>
          </cell>
          <cell r="I12" t="str">
            <v>ABAV085-3</v>
          </cell>
          <cell r="J12">
            <v>15</v>
          </cell>
        </row>
        <row r="13">
          <cell r="B13">
            <v>12</v>
          </cell>
          <cell r="E13" t="str">
            <v>不可取</v>
          </cell>
          <cell r="I13" t="str">
            <v>ABAV085-3</v>
          </cell>
          <cell r="J13">
            <v>14</v>
          </cell>
        </row>
        <row r="14">
          <cell r="B14">
            <v>13</v>
          </cell>
          <cell r="E14" t="str">
            <v>不可取</v>
          </cell>
          <cell r="I14" t="str">
            <v>ABAV085-3</v>
          </cell>
          <cell r="J14">
            <v>13</v>
          </cell>
        </row>
        <row r="15">
          <cell r="B15">
            <v>14</v>
          </cell>
          <cell r="E15" t="str">
            <v>不可取</v>
          </cell>
          <cell r="I15" t="str">
            <v>ABAV085-3</v>
          </cell>
          <cell r="J15">
            <v>10</v>
          </cell>
        </row>
        <row r="16">
          <cell r="B16">
            <v>15</v>
          </cell>
          <cell r="E16" t="str">
            <v>不可取</v>
          </cell>
          <cell r="I16" t="str">
            <v>ABAV085-3</v>
          </cell>
          <cell r="J16">
            <v>15</v>
          </cell>
        </row>
        <row r="17">
          <cell r="B17">
            <v>16</v>
          </cell>
          <cell r="E17" t="str">
            <v>不可取</v>
          </cell>
          <cell r="I17" t="str">
            <v>ABAV085-3</v>
          </cell>
          <cell r="J17">
            <v>10</v>
          </cell>
        </row>
        <row r="18">
          <cell r="B18">
            <v>17</v>
          </cell>
          <cell r="E18" t="str">
            <v>不可取</v>
          </cell>
          <cell r="I18" t="str">
            <v>ABAV085-3</v>
          </cell>
          <cell r="J18">
            <v>11</v>
          </cell>
        </row>
        <row r="19">
          <cell r="B19">
            <v>18</v>
          </cell>
          <cell r="E19" t="str">
            <v>不可取</v>
          </cell>
          <cell r="I19" t="str">
            <v>ABAV085-3</v>
          </cell>
          <cell r="J19">
            <v>12</v>
          </cell>
        </row>
        <row r="20">
          <cell r="B20">
            <v>19</v>
          </cell>
          <cell r="E20" t="str">
            <v>不可取</v>
          </cell>
          <cell r="I20" t="str">
            <v>ABAV085-3</v>
          </cell>
          <cell r="J20">
            <v>13</v>
          </cell>
        </row>
        <row r="21">
          <cell r="B21">
            <v>20</v>
          </cell>
          <cell r="E21" t="str">
            <v>不可取</v>
          </cell>
          <cell r="I21" t="str">
            <v>ABAV085-3</v>
          </cell>
          <cell r="J21">
            <v>7</v>
          </cell>
        </row>
        <row r="22">
          <cell r="B22">
            <v>21</v>
          </cell>
          <cell r="E22" t="str">
            <v>不可取</v>
          </cell>
          <cell r="I22" t="str">
            <v>ABAV085-3</v>
          </cell>
          <cell r="J22">
            <v>8</v>
          </cell>
        </row>
        <row r="23">
          <cell r="B23">
            <v>22</v>
          </cell>
          <cell r="E23" t="str">
            <v>不可取</v>
          </cell>
          <cell r="I23" t="str">
            <v>ABAV085-3</v>
          </cell>
          <cell r="J23">
            <v>9</v>
          </cell>
        </row>
        <row r="24">
          <cell r="B24">
            <v>23</v>
          </cell>
          <cell r="E24" t="str">
            <v>不可取</v>
          </cell>
          <cell r="I24" t="str">
            <v>ABAV085-3</v>
          </cell>
          <cell r="J24">
            <v>13</v>
          </cell>
        </row>
        <row r="25">
          <cell r="B25">
            <v>24</v>
          </cell>
          <cell r="E25" t="str">
            <v>不可取</v>
          </cell>
          <cell r="I25" t="str">
            <v>ABAV085-3</v>
          </cell>
          <cell r="J25">
            <v>7</v>
          </cell>
        </row>
        <row r="26">
          <cell r="B26">
            <v>25</v>
          </cell>
          <cell r="E26" t="str">
            <v>不可取</v>
          </cell>
          <cell r="I26" t="str">
            <v>ABAV085-3</v>
          </cell>
          <cell r="J26">
            <v>8</v>
          </cell>
        </row>
        <row r="27">
          <cell r="B27">
            <v>26</v>
          </cell>
          <cell r="E27" t="str">
            <v>不可取</v>
          </cell>
          <cell r="I27" t="str">
            <v>ABAV085-3</v>
          </cell>
          <cell r="J27">
            <v>9</v>
          </cell>
        </row>
        <row r="28">
          <cell r="B28">
            <v>27</v>
          </cell>
          <cell r="E28" t="str">
            <v>不可取</v>
          </cell>
          <cell r="I28" t="str">
            <v>ABAV085-3</v>
          </cell>
          <cell r="J28">
            <v>10</v>
          </cell>
        </row>
        <row r="29">
          <cell r="B29">
            <v>28</v>
          </cell>
          <cell r="E29" t="str">
            <v>不可取</v>
          </cell>
          <cell r="I29" t="str">
            <v>ABAV085-3</v>
          </cell>
          <cell r="J29">
            <v>15</v>
          </cell>
        </row>
        <row r="30">
          <cell r="B30">
            <v>29</v>
          </cell>
          <cell r="E30" t="str">
            <v>不可取</v>
          </cell>
          <cell r="I30" t="str">
            <v>ABAV085-3</v>
          </cell>
          <cell r="J30">
            <v>14</v>
          </cell>
        </row>
        <row r="31">
          <cell r="B31">
            <v>30</v>
          </cell>
          <cell r="E31" t="str">
            <v>不可取</v>
          </cell>
          <cell r="I31" t="str">
            <v>ABAV085-3</v>
          </cell>
          <cell r="J31">
            <v>13</v>
          </cell>
        </row>
        <row r="32">
          <cell r="B32">
            <v>31</v>
          </cell>
          <cell r="E32" t="str">
            <v>不可取</v>
          </cell>
          <cell r="I32" t="str">
            <v>ABAV085-3</v>
          </cell>
          <cell r="J32">
            <v>15</v>
          </cell>
        </row>
        <row r="33">
          <cell r="B33">
            <v>32</v>
          </cell>
          <cell r="E33" t="str">
            <v>不可取</v>
          </cell>
          <cell r="I33" t="str">
            <v>ABAV085-3</v>
          </cell>
          <cell r="J33">
            <v>10</v>
          </cell>
        </row>
        <row r="34">
          <cell r="B34">
            <v>33</v>
          </cell>
          <cell r="E34" t="str">
            <v>不可取</v>
          </cell>
          <cell r="I34" t="str">
            <v>ABAV085-3</v>
          </cell>
          <cell r="J34">
            <v>11</v>
          </cell>
        </row>
        <row r="35">
          <cell r="B35">
            <v>34</v>
          </cell>
          <cell r="E35" t="str">
            <v>不可取</v>
          </cell>
          <cell r="I35" t="str">
            <v>ABAV085-3</v>
          </cell>
          <cell r="J35">
            <v>12</v>
          </cell>
        </row>
        <row r="36">
          <cell r="B36">
            <v>35</v>
          </cell>
          <cell r="E36" t="str">
            <v>不可取</v>
          </cell>
          <cell r="I36" t="str">
            <v>ABAV085-3</v>
          </cell>
          <cell r="J36">
            <v>9</v>
          </cell>
        </row>
        <row r="37">
          <cell r="B37">
            <v>36</v>
          </cell>
          <cell r="E37" t="str">
            <v>不可取</v>
          </cell>
          <cell r="I37" t="str">
            <v>ABAV085-3</v>
          </cell>
          <cell r="J37">
            <v>10</v>
          </cell>
        </row>
        <row r="38">
          <cell r="B38">
            <v>37</v>
          </cell>
          <cell r="E38" t="str">
            <v>不可取</v>
          </cell>
          <cell r="I38" t="str">
            <v>ABAV085-3</v>
          </cell>
          <cell r="J38">
            <v>15</v>
          </cell>
        </row>
        <row r="39">
          <cell r="B39">
            <v>38</v>
          </cell>
          <cell r="E39" t="str">
            <v>不可取</v>
          </cell>
          <cell r="I39" t="str">
            <v>ABAV085-3</v>
          </cell>
          <cell r="J39">
            <v>14</v>
          </cell>
        </row>
        <row r="40">
          <cell r="B40">
            <v>39</v>
          </cell>
          <cell r="E40" t="str">
            <v>不可取</v>
          </cell>
          <cell r="I40" t="str">
            <v>ABAV085-3</v>
          </cell>
          <cell r="J40">
            <v>13</v>
          </cell>
        </row>
        <row r="41">
          <cell r="B41">
            <v>40</v>
          </cell>
          <cell r="E41" t="str">
            <v>不可取</v>
          </cell>
          <cell r="I41" t="str">
            <v>ABAV085-3</v>
          </cell>
          <cell r="J41">
            <v>10</v>
          </cell>
        </row>
        <row r="42">
          <cell r="B42">
            <v>41</v>
          </cell>
          <cell r="E42" t="str">
            <v>不可取</v>
          </cell>
          <cell r="I42" t="str">
            <v>ABAV085-3</v>
          </cell>
          <cell r="J42">
            <v>15</v>
          </cell>
        </row>
        <row r="43">
          <cell r="B43">
            <v>42</v>
          </cell>
          <cell r="E43" t="str">
            <v>不可取</v>
          </cell>
          <cell r="I43" t="str">
            <v>ABAV085-3</v>
          </cell>
          <cell r="J43">
            <v>10</v>
          </cell>
        </row>
        <row r="44">
          <cell r="B44">
            <v>43</v>
          </cell>
          <cell r="E44" t="str">
            <v>不可取</v>
          </cell>
          <cell r="I44" t="str">
            <v>ABAV085-3</v>
          </cell>
          <cell r="J44">
            <v>13</v>
          </cell>
        </row>
        <row r="45">
          <cell r="B45">
            <v>44</v>
          </cell>
          <cell r="E45" t="str">
            <v>不可取</v>
          </cell>
          <cell r="I45" t="str">
            <v>ABAV085-3</v>
          </cell>
          <cell r="J45">
            <v>15</v>
          </cell>
        </row>
        <row r="46">
          <cell r="B46">
            <v>45</v>
          </cell>
          <cell r="E46" t="str">
            <v>不可取</v>
          </cell>
          <cell r="I46" t="str">
            <v>ABAV085-3</v>
          </cell>
          <cell r="J46">
            <v>10</v>
          </cell>
        </row>
        <row r="47">
          <cell r="B47">
            <v>46</v>
          </cell>
          <cell r="E47" t="str">
            <v>不可取</v>
          </cell>
          <cell r="I47" t="str">
            <v>ABAV085-3</v>
          </cell>
          <cell r="J47">
            <v>11</v>
          </cell>
        </row>
        <row r="48">
          <cell r="B48">
            <v>47</v>
          </cell>
          <cell r="E48" t="str">
            <v>不可取</v>
          </cell>
          <cell r="I48" t="str">
            <v>ABAV085-3</v>
          </cell>
          <cell r="J48">
            <v>13</v>
          </cell>
        </row>
        <row r="49">
          <cell r="B49">
            <v>48</v>
          </cell>
          <cell r="E49" t="str">
            <v>不可取</v>
          </cell>
          <cell r="I49" t="str">
            <v>ABAV085-3</v>
          </cell>
          <cell r="J49">
            <v>15</v>
          </cell>
        </row>
        <row r="50">
          <cell r="B50">
            <v>49</v>
          </cell>
          <cell r="E50" t="str">
            <v>可取</v>
          </cell>
          <cell r="I50" t="str">
            <v>ABAV085-3</v>
          </cell>
          <cell r="J50">
            <v>10</v>
          </cell>
        </row>
        <row r="51">
          <cell r="B51">
            <v>50</v>
          </cell>
          <cell r="E51" t="str">
            <v>可取</v>
          </cell>
          <cell r="I51" t="str">
            <v>ABAV085-3</v>
          </cell>
          <cell r="J51">
            <v>11</v>
          </cell>
        </row>
        <row r="52">
          <cell r="B52">
            <v>51</v>
          </cell>
          <cell r="E52" t="str">
            <v>可取</v>
          </cell>
          <cell r="I52" t="str">
            <v>ABAV085-3</v>
          </cell>
          <cell r="J52">
            <v>8</v>
          </cell>
        </row>
        <row r="53">
          <cell r="B53">
            <v>52</v>
          </cell>
          <cell r="E53" t="str">
            <v>可取</v>
          </cell>
          <cell r="I53" t="str">
            <v>ABAV085-3</v>
          </cell>
          <cell r="J53">
            <v>13</v>
          </cell>
        </row>
        <row r="54">
          <cell r="B54">
            <v>53</v>
          </cell>
          <cell r="E54" t="str">
            <v>可取</v>
          </cell>
          <cell r="I54" t="str">
            <v>ABAV085-3</v>
          </cell>
          <cell r="J54">
            <v>15</v>
          </cell>
        </row>
        <row r="55">
          <cell r="B55">
            <v>54</v>
          </cell>
          <cell r="E55" t="str">
            <v>可取</v>
          </cell>
          <cell r="I55" t="str">
            <v>ABAV085-3</v>
          </cell>
          <cell r="J55">
            <v>10</v>
          </cell>
        </row>
        <row r="56">
          <cell r="B56">
            <v>55</v>
          </cell>
          <cell r="E56" t="str">
            <v>可取</v>
          </cell>
          <cell r="I56" t="str">
            <v>ABAV085-3</v>
          </cell>
          <cell r="J56">
            <v>15</v>
          </cell>
        </row>
        <row r="57">
          <cell r="B57">
            <v>1</v>
          </cell>
          <cell r="E57" t="str">
            <v>不可取</v>
          </cell>
          <cell r="I57" t="str">
            <v>ABCW011-1</v>
          </cell>
          <cell r="J57">
            <v>8</v>
          </cell>
        </row>
        <row r="58">
          <cell r="B58">
            <v>2</v>
          </cell>
          <cell r="E58" t="str">
            <v>不可取</v>
          </cell>
          <cell r="I58" t="str">
            <v>ABCW011-1</v>
          </cell>
          <cell r="J58">
            <v>9</v>
          </cell>
        </row>
        <row r="59">
          <cell r="B59">
            <v>3</v>
          </cell>
          <cell r="E59" t="str">
            <v>不可取</v>
          </cell>
          <cell r="I59" t="str">
            <v>ABCW011-1</v>
          </cell>
          <cell r="J59">
            <v>13</v>
          </cell>
        </row>
        <row r="60">
          <cell r="B60">
            <v>4</v>
          </cell>
          <cell r="E60" t="str">
            <v>不可取</v>
          </cell>
          <cell r="I60" t="str">
            <v>ABCW011-1</v>
          </cell>
          <cell r="J60">
            <v>7</v>
          </cell>
        </row>
        <row r="61">
          <cell r="B61">
            <v>5</v>
          </cell>
          <cell r="E61" t="str">
            <v>不可取</v>
          </cell>
          <cell r="I61" t="str">
            <v>ABCW011-1</v>
          </cell>
          <cell r="J61">
            <v>8</v>
          </cell>
        </row>
        <row r="62">
          <cell r="B62">
            <v>6</v>
          </cell>
          <cell r="E62" t="str">
            <v>不可取</v>
          </cell>
          <cell r="I62" t="str">
            <v>ABCW011-1</v>
          </cell>
          <cell r="J62">
            <v>9</v>
          </cell>
        </row>
        <row r="63">
          <cell r="B63">
            <v>7</v>
          </cell>
          <cell r="E63" t="str">
            <v>不可取</v>
          </cell>
          <cell r="I63" t="str">
            <v>ABCW011-1</v>
          </cell>
          <cell r="J63">
            <v>10</v>
          </cell>
        </row>
        <row r="64">
          <cell r="B64">
            <v>8</v>
          </cell>
          <cell r="E64" t="str">
            <v>不可取</v>
          </cell>
          <cell r="I64" t="str">
            <v>ABCW011-1</v>
          </cell>
          <cell r="J64">
            <v>15</v>
          </cell>
        </row>
        <row r="65">
          <cell r="B65">
            <v>9</v>
          </cell>
          <cell r="E65" t="str">
            <v>不可取</v>
          </cell>
          <cell r="I65" t="str">
            <v>ABCW011-1</v>
          </cell>
          <cell r="J65">
            <v>14</v>
          </cell>
        </row>
        <row r="66">
          <cell r="B66">
            <v>10</v>
          </cell>
          <cell r="E66" t="str">
            <v>不可取</v>
          </cell>
          <cell r="I66" t="str">
            <v>ABCW011-1</v>
          </cell>
          <cell r="J66">
            <v>13</v>
          </cell>
        </row>
        <row r="67">
          <cell r="B67">
            <v>11</v>
          </cell>
          <cell r="E67" t="str">
            <v>不可取</v>
          </cell>
          <cell r="I67" t="str">
            <v>ABCW011-1</v>
          </cell>
          <cell r="J67">
            <v>15</v>
          </cell>
        </row>
        <row r="68">
          <cell r="B68">
            <v>12</v>
          </cell>
          <cell r="E68" t="str">
            <v>不可取</v>
          </cell>
          <cell r="I68" t="str">
            <v>ABCW011-1</v>
          </cell>
          <cell r="J68">
            <v>10</v>
          </cell>
        </row>
        <row r="69">
          <cell r="B69">
            <v>13</v>
          </cell>
          <cell r="E69" t="str">
            <v>不可取</v>
          </cell>
          <cell r="I69" t="str">
            <v>ABCW011-1</v>
          </cell>
          <cell r="J69">
            <v>11</v>
          </cell>
        </row>
        <row r="70">
          <cell r="B70">
            <v>14</v>
          </cell>
          <cell r="E70" t="str">
            <v>不可取</v>
          </cell>
          <cell r="I70" t="str">
            <v>ABCW011-1</v>
          </cell>
          <cell r="J70">
            <v>12</v>
          </cell>
        </row>
        <row r="71">
          <cell r="B71">
            <v>15</v>
          </cell>
          <cell r="E71" t="str">
            <v>不可取</v>
          </cell>
          <cell r="I71" t="str">
            <v>ABCW011-1</v>
          </cell>
          <cell r="J71">
            <v>9</v>
          </cell>
        </row>
        <row r="72">
          <cell r="B72">
            <v>16</v>
          </cell>
          <cell r="E72" t="str">
            <v>不可取</v>
          </cell>
          <cell r="I72" t="str">
            <v>ABCW011-1</v>
          </cell>
          <cell r="J72">
            <v>10</v>
          </cell>
        </row>
        <row r="73">
          <cell r="B73">
            <v>17</v>
          </cell>
          <cell r="E73" t="str">
            <v>不可取</v>
          </cell>
          <cell r="I73" t="str">
            <v>ABCW011-1</v>
          </cell>
          <cell r="J73">
            <v>10</v>
          </cell>
        </row>
        <row r="74">
          <cell r="B74">
            <v>18</v>
          </cell>
          <cell r="E74" t="str">
            <v>不可取</v>
          </cell>
          <cell r="I74" t="str">
            <v>ABCW011-1</v>
          </cell>
          <cell r="J74">
            <v>13</v>
          </cell>
        </row>
        <row r="75">
          <cell r="B75">
            <v>19</v>
          </cell>
          <cell r="E75" t="str">
            <v>不可取</v>
          </cell>
          <cell r="I75" t="str">
            <v>ABCW011-1</v>
          </cell>
          <cell r="J75">
            <v>15</v>
          </cell>
        </row>
        <row r="76">
          <cell r="B76">
            <v>20</v>
          </cell>
          <cell r="E76" t="str">
            <v>不可取</v>
          </cell>
          <cell r="I76" t="str">
            <v>ABCW011-1</v>
          </cell>
          <cell r="J76">
            <v>10</v>
          </cell>
        </row>
        <row r="77">
          <cell r="B77">
            <v>21</v>
          </cell>
          <cell r="E77" t="str">
            <v>不可取</v>
          </cell>
          <cell r="I77" t="str">
            <v>ABCW011-1</v>
          </cell>
          <cell r="J77">
            <v>11</v>
          </cell>
        </row>
        <row r="78">
          <cell r="B78">
            <v>22</v>
          </cell>
          <cell r="E78" t="str">
            <v>不可取</v>
          </cell>
          <cell r="I78" t="str">
            <v>ABCW011-1</v>
          </cell>
          <cell r="J78">
            <v>13</v>
          </cell>
        </row>
        <row r="79">
          <cell r="B79">
            <v>23</v>
          </cell>
          <cell r="E79" t="str">
            <v>不可取</v>
          </cell>
          <cell r="I79" t="str">
            <v>ABCW011-1</v>
          </cell>
          <cell r="J79">
            <v>15</v>
          </cell>
        </row>
        <row r="80">
          <cell r="B80">
            <v>24</v>
          </cell>
          <cell r="E80" t="str">
            <v>不可取</v>
          </cell>
          <cell r="I80" t="str">
            <v>ABCW011-1</v>
          </cell>
          <cell r="J80">
            <v>10</v>
          </cell>
        </row>
        <row r="81">
          <cell r="B81">
            <v>25</v>
          </cell>
          <cell r="E81" t="str">
            <v>不可取</v>
          </cell>
          <cell r="I81" t="str">
            <v>ABCW011-1</v>
          </cell>
          <cell r="J81">
            <v>11</v>
          </cell>
        </row>
        <row r="82">
          <cell r="B82">
            <v>26</v>
          </cell>
          <cell r="E82" t="str">
            <v>不可取</v>
          </cell>
          <cell r="I82" t="str">
            <v>ABCW011-1</v>
          </cell>
          <cell r="J82">
            <v>8</v>
          </cell>
        </row>
        <row r="83">
          <cell r="B83">
            <v>27</v>
          </cell>
          <cell r="E83" t="str">
            <v>不可取</v>
          </cell>
          <cell r="I83" t="str">
            <v>ABCW011-1</v>
          </cell>
          <cell r="J83">
            <v>8</v>
          </cell>
        </row>
        <row r="84">
          <cell r="B84">
            <v>28</v>
          </cell>
          <cell r="E84" t="str">
            <v>不可取</v>
          </cell>
          <cell r="I84" t="str">
            <v>ABCW011-1</v>
          </cell>
          <cell r="J84">
            <v>9</v>
          </cell>
        </row>
        <row r="85">
          <cell r="B85">
            <v>29</v>
          </cell>
          <cell r="E85" t="str">
            <v>不可取</v>
          </cell>
          <cell r="I85" t="str">
            <v>ABCW011-1</v>
          </cell>
          <cell r="J85">
            <v>10</v>
          </cell>
        </row>
        <row r="86">
          <cell r="B86">
            <v>30</v>
          </cell>
          <cell r="E86" t="str">
            <v>不可取</v>
          </cell>
          <cell r="I86" t="str">
            <v>ABCW011-1</v>
          </cell>
          <cell r="J86">
            <v>15</v>
          </cell>
        </row>
        <row r="87">
          <cell r="B87">
            <v>31</v>
          </cell>
          <cell r="E87" t="str">
            <v>不可取</v>
          </cell>
          <cell r="I87" t="str">
            <v>ABCW011-1</v>
          </cell>
          <cell r="J87">
            <v>14</v>
          </cell>
        </row>
        <row r="88">
          <cell r="B88">
            <v>32</v>
          </cell>
          <cell r="E88" t="str">
            <v>不可取</v>
          </cell>
          <cell r="I88" t="str">
            <v>ABCW011-1</v>
          </cell>
          <cell r="J88">
            <v>13</v>
          </cell>
        </row>
        <row r="89">
          <cell r="B89">
            <v>33</v>
          </cell>
          <cell r="E89" t="str">
            <v>不可取</v>
          </cell>
          <cell r="I89" t="str">
            <v>ABCW011-1</v>
          </cell>
          <cell r="J89">
            <v>15</v>
          </cell>
        </row>
        <row r="90">
          <cell r="B90">
            <v>34</v>
          </cell>
          <cell r="E90" t="str">
            <v>不可取</v>
          </cell>
          <cell r="I90" t="str">
            <v>ABCW011-1</v>
          </cell>
          <cell r="J90">
            <v>10</v>
          </cell>
        </row>
        <row r="91">
          <cell r="B91">
            <v>35</v>
          </cell>
          <cell r="E91" t="str">
            <v>不可取</v>
          </cell>
          <cell r="I91" t="str">
            <v>ABCW011-1</v>
          </cell>
          <cell r="J91">
            <v>11</v>
          </cell>
        </row>
        <row r="92">
          <cell r="B92">
            <v>36</v>
          </cell>
          <cell r="E92" t="str">
            <v>不可取</v>
          </cell>
          <cell r="I92" t="str">
            <v>ABCW011-1</v>
          </cell>
          <cell r="J92">
            <v>12</v>
          </cell>
        </row>
        <row r="93">
          <cell r="B93">
            <v>37</v>
          </cell>
          <cell r="E93" t="str">
            <v>不可取</v>
          </cell>
          <cell r="I93" t="str">
            <v>ABCW011-1</v>
          </cell>
          <cell r="J93">
            <v>9</v>
          </cell>
        </row>
        <row r="94">
          <cell r="B94">
            <v>38</v>
          </cell>
          <cell r="E94" t="str">
            <v>不可取</v>
          </cell>
          <cell r="I94" t="str">
            <v>ABCW011-1</v>
          </cell>
          <cell r="J94">
            <v>10</v>
          </cell>
        </row>
        <row r="95">
          <cell r="B95">
            <v>39</v>
          </cell>
          <cell r="E95" t="str">
            <v>不可取</v>
          </cell>
          <cell r="I95" t="str">
            <v>ABCW011-1</v>
          </cell>
          <cell r="J95">
            <v>10</v>
          </cell>
        </row>
        <row r="96">
          <cell r="B96">
            <v>40</v>
          </cell>
          <cell r="E96" t="str">
            <v>不可取</v>
          </cell>
          <cell r="I96" t="str">
            <v>ABCW011-1</v>
          </cell>
          <cell r="J96">
            <v>13</v>
          </cell>
        </row>
        <row r="97">
          <cell r="B97">
            <v>41</v>
          </cell>
          <cell r="E97" t="str">
            <v>不可取</v>
          </cell>
          <cell r="I97" t="str">
            <v>ABCW011-1</v>
          </cell>
          <cell r="J97">
            <v>15</v>
          </cell>
        </row>
        <row r="98">
          <cell r="B98">
            <v>42</v>
          </cell>
          <cell r="E98" t="str">
            <v>不可取</v>
          </cell>
          <cell r="I98" t="str">
            <v>ABCW011-1</v>
          </cell>
          <cell r="J98">
            <v>10</v>
          </cell>
        </row>
        <row r="99">
          <cell r="B99">
            <v>43</v>
          </cell>
          <cell r="E99" t="str">
            <v>不可取</v>
          </cell>
          <cell r="I99" t="str">
            <v>ABCW011-1</v>
          </cell>
          <cell r="J99">
            <v>11</v>
          </cell>
        </row>
        <row r="100">
          <cell r="B100">
            <v>44</v>
          </cell>
          <cell r="E100" t="str">
            <v>不可取</v>
          </cell>
          <cell r="I100" t="str">
            <v>ABCW011-1</v>
          </cell>
          <cell r="J100">
            <v>13</v>
          </cell>
        </row>
        <row r="101">
          <cell r="B101">
            <v>45</v>
          </cell>
          <cell r="E101" t="str">
            <v>不可取</v>
          </cell>
          <cell r="I101" t="str">
            <v>ABCW011-1</v>
          </cell>
          <cell r="J101">
            <v>15</v>
          </cell>
        </row>
        <row r="102">
          <cell r="B102">
            <v>46</v>
          </cell>
          <cell r="E102" t="str">
            <v>不可取</v>
          </cell>
          <cell r="I102" t="str">
            <v>ABCW011-1</v>
          </cell>
          <cell r="J102">
            <v>14</v>
          </cell>
        </row>
        <row r="103">
          <cell r="B103">
            <v>47</v>
          </cell>
          <cell r="E103" t="str">
            <v>不可取</v>
          </cell>
          <cell r="I103" t="str">
            <v>ABCW011-1</v>
          </cell>
          <cell r="J103">
            <v>13</v>
          </cell>
        </row>
        <row r="104">
          <cell r="B104">
            <v>48</v>
          </cell>
          <cell r="E104" t="str">
            <v>不可取</v>
          </cell>
          <cell r="I104" t="str">
            <v>ABCW011-1</v>
          </cell>
          <cell r="J104">
            <v>15</v>
          </cell>
        </row>
        <row r="105">
          <cell r="B105">
            <v>49</v>
          </cell>
          <cell r="E105" t="str">
            <v>不可取</v>
          </cell>
          <cell r="I105" t="str">
            <v>ABCW011-1</v>
          </cell>
          <cell r="J105">
            <v>10</v>
          </cell>
        </row>
        <row r="106">
          <cell r="B106">
            <v>50</v>
          </cell>
          <cell r="E106" t="str">
            <v>不可取</v>
          </cell>
          <cell r="I106" t="str">
            <v>ABCW011-1</v>
          </cell>
          <cell r="J106">
            <v>11</v>
          </cell>
        </row>
        <row r="107">
          <cell r="B107">
            <v>51</v>
          </cell>
          <cell r="E107" t="str">
            <v>不可取</v>
          </cell>
          <cell r="I107" t="str">
            <v>ABCW011-1</v>
          </cell>
          <cell r="J107">
            <v>12</v>
          </cell>
        </row>
        <row r="108">
          <cell r="B108">
            <v>52</v>
          </cell>
          <cell r="E108" t="str">
            <v>不可取</v>
          </cell>
          <cell r="I108" t="str">
            <v>ABCW011-1</v>
          </cell>
          <cell r="J108">
            <v>9</v>
          </cell>
        </row>
        <row r="109">
          <cell r="B109">
            <v>53</v>
          </cell>
          <cell r="E109" t="str">
            <v>不可取</v>
          </cell>
          <cell r="I109" t="str">
            <v>ABCW011-1</v>
          </cell>
          <cell r="J109">
            <v>10</v>
          </cell>
        </row>
        <row r="110">
          <cell r="B110">
            <v>54</v>
          </cell>
          <cell r="E110" t="str">
            <v>不可取</v>
          </cell>
          <cell r="I110" t="str">
            <v>ABCW011-1</v>
          </cell>
          <cell r="J110">
            <v>10</v>
          </cell>
        </row>
        <row r="111">
          <cell r="B111">
            <v>55</v>
          </cell>
          <cell r="E111" t="str">
            <v>不可取</v>
          </cell>
          <cell r="I111" t="str">
            <v>ABCW011-1</v>
          </cell>
          <cell r="J111">
            <v>10</v>
          </cell>
        </row>
        <row r="112">
          <cell r="B112">
            <v>56</v>
          </cell>
          <cell r="E112" t="str">
            <v>不可取</v>
          </cell>
          <cell r="I112" t="str">
            <v>ABCW011-1</v>
          </cell>
          <cell r="J112">
            <v>15</v>
          </cell>
        </row>
        <row r="113">
          <cell r="B113">
            <v>57</v>
          </cell>
          <cell r="E113" t="str">
            <v>不可取</v>
          </cell>
          <cell r="I113" t="str">
            <v>ABCW011-1</v>
          </cell>
          <cell r="J113">
            <v>10</v>
          </cell>
        </row>
        <row r="114">
          <cell r="B114">
            <v>58</v>
          </cell>
          <cell r="E114" t="str">
            <v>不可取</v>
          </cell>
          <cell r="I114" t="str">
            <v>ABCW011-1</v>
          </cell>
          <cell r="J114">
            <v>11</v>
          </cell>
        </row>
        <row r="115">
          <cell r="B115">
            <v>59</v>
          </cell>
          <cell r="E115" t="str">
            <v>不可取</v>
          </cell>
          <cell r="I115" t="str">
            <v>ABCW011-1</v>
          </cell>
          <cell r="J115">
            <v>12</v>
          </cell>
        </row>
        <row r="116">
          <cell r="B116">
            <v>60</v>
          </cell>
          <cell r="E116" t="str">
            <v>不可取</v>
          </cell>
          <cell r="I116" t="str">
            <v>ABCW011-1</v>
          </cell>
          <cell r="J116">
            <v>13</v>
          </cell>
        </row>
        <row r="117">
          <cell r="B117">
            <v>61</v>
          </cell>
          <cell r="E117" t="str">
            <v>不可取</v>
          </cell>
          <cell r="I117" t="str">
            <v>ABCW011-1</v>
          </cell>
          <cell r="J117">
            <v>7</v>
          </cell>
        </row>
        <row r="118">
          <cell r="B118">
            <v>62</v>
          </cell>
          <cell r="E118" t="str">
            <v>不可取</v>
          </cell>
          <cell r="I118" t="str">
            <v>ABCW011-1</v>
          </cell>
          <cell r="J118">
            <v>8</v>
          </cell>
        </row>
        <row r="119">
          <cell r="B119">
            <v>63</v>
          </cell>
          <cell r="E119" t="str">
            <v>不可取</v>
          </cell>
          <cell r="I119" t="str">
            <v>ABCW011-1</v>
          </cell>
          <cell r="J119">
            <v>9</v>
          </cell>
        </row>
        <row r="120">
          <cell r="B120">
            <v>64</v>
          </cell>
          <cell r="E120" t="str">
            <v>不可取</v>
          </cell>
          <cell r="I120" t="str">
            <v>ABCW011-1</v>
          </cell>
          <cell r="J120">
            <v>10</v>
          </cell>
        </row>
        <row r="121">
          <cell r="B121">
            <v>65</v>
          </cell>
          <cell r="E121" t="str">
            <v>不可取</v>
          </cell>
          <cell r="I121" t="str">
            <v>ABCW011-1</v>
          </cell>
          <cell r="J121">
            <v>15</v>
          </cell>
        </row>
        <row r="122">
          <cell r="B122">
            <v>66</v>
          </cell>
          <cell r="E122" t="str">
            <v>不可取</v>
          </cell>
          <cell r="I122" t="str">
            <v>ABCW011-1</v>
          </cell>
          <cell r="J122">
            <v>14</v>
          </cell>
        </row>
        <row r="123">
          <cell r="B123">
            <v>67</v>
          </cell>
          <cell r="E123" t="str">
            <v>不可取</v>
          </cell>
          <cell r="I123" t="str">
            <v>ABCW011-1</v>
          </cell>
          <cell r="J123">
            <v>13</v>
          </cell>
        </row>
        <row r="124">
          <cell r="B124">
            <v>68</v>
          </cell>
          <cell r="E124" t="str">
            <v>不可取</v>
          </cell>
          <cell r="I124" t="str">
            <v>ABCW011-1</v>
          </cell>
          <cell r="J124">
            <v>10</v>
          </cell>
        </row>
        <row r="125">
          <cell r="B125">
            <v>69</v>
          </cell>
          <cell r="E125" t="str">
            <v>不可取</v>
          </cell>
          <cell r="I125" t="str">
            <v>ABCW011-1</v>
          </cell>
          <cell r="J125">
            <v>15</v>
          </cell>
        </row>
        <row r="126">
          <cell r="B126">
            <v>70</v>
          </cell>
          <cell r="E126" t="str">
            <v>不可取</v>
          </cell>
          <cell r="I126" t="str">
            <v>ABCW011-1</v>
          </cell>
          <cell r="J126">
            <v>10</v>
          </cell>
        </row>
        <row r="127">
          <cell r="B127">
            <v>71</v>
          </cell>
          <cell r="E127" t="str">
            <v>不可取</v>
          </cell>
          <cell r="I127" t="str">
            <v>ABCW011-1</v>
          </cell>
          <cell r="J127">
            <v>11</v>
          </cell>
        </row>
        <row r="128">
          <cell r="B128">
            <v>72</v>
          </cell>
          <cell r="E128" t="str">
            <v>不可取</v>
          </cell>
          <cell r="I128" t="str">
            <v>ABCW011-1</v>
          </cell>
          <cell r="J128">
            <v>12</v>
          </cell>
        </row>
        <row r="129">
          <cell r="B129">
            <v>73</v>
          </cell>
          <cell r="E129" t="str">
            <v>不可取</v>
          </cell>
          <cell r="I129" t="str">
            <v>ABCW011-1</v>
          </cell>
          <cell r="J129">
            <v>13</v>
          </cell>
        </row>
        <row r="130">
          <cell r="B130">
            <v>74</v>
          </cell>
          <cell r="E130" t="str">
            <v>不可取</v>
          </cell>
          <cell r="I130" t="str">
            <v>ABCW011-1</v>
          </cell>
          <cell r="J130">
            <v>7</v>
          </cell>
        </row>
        <row r="131">
          <cell r="B131">
            <v>75</v>
          </cell>
          <cell r="E131" t="str">
            <v>不可取</v>
          </cell>
          <cell r="I131" t="str">
            <v>ABCW011-1</v>
          </cell>
          <cell r="J131">
            <v>8</v>
          </cell>
        </row>
        <row r="132">
          <cell r="B132">
            <v>76</v>
          </cell>
          <cell r="E132" t="str">
            <v>不可取</v>
          </cell>
          <cell r="I132" t="str">
            <v>ABCW011-1</v>
          </cell>
          <cell r="J132">
            <v>9</v>
          </cell>
        </row>
        <row r="133">
          <cell r="B133">
            <v>77</v>
          </cell>
          <cell r="E133" t="str">
            <v>不可取</v>
          </cell>
          <cell r="I133" t="str">
            <v>ABCW011-1</v>
          </cell>
          <cell r="J133">
            <v>13</v>
          </cell>
        </row>
        <row r="134">
          <cell r="B134">
            <v>78</v>
          </cell>
          <cell r="E134" t="str">
            <v>不可取</v>
          </cell>
          <cell r="I134" t="str">
            <v>ABCW011-1</v>
          </cell>
          <cell r="J134">
            <v>7</v>
          </cell>
        </row>
        <row r="135">
          <cell r="B135">
            <v>79</v>
          </cell>
          <cell r="E135" t="str">
            <v>不可取</v>
          </cell>
          <cell r="I135" t="str">
            <v>ABCW011-1</v>
          </cell>
          <cell r="J135">
            <v>8</v>
          </cell>
        </row>
        <row r="136">
          <cell r="B136">
            <v>80</v>
          </cell>
          <cell r="E136" t="str">
            <v>不可取</v>
          </cell>
          <cell r="I136" t="str">
            <v>ABCW011-1</v>
          </cell>
          <cell r="J136">
            <v>9</v>
          </cell>
        </row>
        <row r="137">
          <cell r="B137">
            <v>81</v>
          </cell>
          <cell r="E137" t="str">
            <v>不可取</v>
          </cell>
          <cell r="I137" t="str">
            <v>ABCW011-1</v>
          </cell>
          <cell r="J137">
            <v>10</v>
          </cell>
        </row>
        <row r="138">
          <cell r="B138">
            <v>82</v>
          </cell>
          <cell r="E138" t="str">
            <v>不可取</v>
          </cell>
          <cell r="I138" t="str">
            <v>ABCW011-1</v>
          </cell>
          <cell r="J138">
            <v>15</v>
          </cell>
        </row>
        <row r="139">
          <cell r="B139">
            <v>83</v>
          </cell>
          <cell r="E139" t="str">
            <v>不可取</v>
          </cell>
          <cell r="I139" t="str">
            <v>ABCW011-1</v>
          </cell>
          <cell r="J139">
            <v>14</v>
          </cell>
        </row>
        <row r="140">
          <cell r="B140">
            <v>84</v>
          </cell>
          <cell r="E140" t="str">
            <v>不可取</v>
          </cell>
          <cell r="I140" t="str">
            <v>ABCW011-1</v>
          </cell>
          <cell r="J140">
            <v>13</v>
          </cell>
        </row>
        <row r="141">
          <cell r="B141">
            <v>85</v>
          </cell>
          <cell r="E141" t="str">
            <v>不可取</v>
          </cell>
          <cell r="I141" t="str">
            <v>ABCW011-1</v>
          </cell>
          <cell r="J141">
            <v>15</v>
          </cell>
        </row>
        <row r="142">
          <cell r="B142">
            <v>86</v>
          </cell>
          <cell r="E142" t="str">
            <v>不可取</v>
          </cell>
          <cell r="I142" t="str">
            <v>ABCW011-1</v>
          </cell>
          <cell r="J142">
            <v>10</v>
          </cell>
        </row>
        <row r="143">
          <cell r="B143">
            <v>87</v>
          </cell>
          <cell r="E143" t="str">
            <v>不可取</v>
          </cell>
          <cell r="I143" t="str">
            <v>ABCW011-1</v>
          </cell>
          <cell r="J143">
            <v>11</v>
          </cell>
        </row>
        <row r="144">
          <cell r="B144">
            <v>88</v>
          </cell>
          <cell r="E144" t="str">
            <v>不可取</v>
          </cell>
          <cell r="I144" t="str">
            <v>ABCW011-1</v>
          </cell>
          <cell r="J144">
            <v>12</v>
          </cell>
        </row>
        <row r="145">
          <cell r="B145">
            <v>89</v>
          </cell>
          <cell r="E145" t="str">
            <v>不可取</v>
          </cell>
          <cell r="I145" t="str">
            <v>ABCW011-1</v>
          </cell>
          <cell r="J145">
            <v>9</v>
          </cell>
        </row>
        <row r="146">
          <cell r="B146">
            <v>90</v>
          </cell>
          <cell r="E146" t="str">
            <v>不可取</v>
          </cell>
          <cell r="I146" t="str">
            <v>ABCW011-1</v>
          </cell>
          <cell r="J146">
            <v>10</v>
          </cell>
        </row>
        <row r="147">
          <cell r="B147">
            <v>91</v>
          </cell>
          <cell r="E147" t="str">
            <v>不可取</v>
          </cell>
          <cell r="I147" t="str">
            <v>ABCW011-1</v>
          </cell>
          <cell r="J147">
            <v>15</v>
          </cell>
        </row>
        <row r="148">
          <cell r="B148">
            <v>92</v>
          </cell>
          <cell r="E148" t="str">
            <v>不可取</v>
          </cell>
          <cell r="I148" t="str">
            <v>ABCW011-1</v>
          </cell>
          <cell r="J148">
            <v>14</v>
          </cell>
        </row>
        <row r="149">
          <cell r="B149">
            <v>93</v>
          </cell>
          <cell r="E149" t="str">
            <v>不可取</v>
          </cell>
          <cell r="I149" t="str">
            <v>ABCW011-1</v>
          </cell>
          <cell r="J149">
            <v>13</v>
          </cell>
        </row>
        <row r="150">
          <cell r="B150">
            <v>94</v>
          </cell>
          <cell r="E150" t="str">
            <v>不可取</v>
          </cell>
          <cell r="I150" t="str">
            <v>ABCW011-1</v>
          </cell>
          <cell r="J150">
            <v>10</v>
          </cell>
        </row>
        <row r="151">
          <cell r="B151">
            <v>95</v>
          </cell>
          <cell r="E151" t="str">
            <v>不可取</v>
          </cell>
          <cell r="I151" t="str">
            <v>ABCW011-1</v>
          </cell>
          <cell r="J151">
            <v>15</v>
          </cell>
        </row>
        <row r="152">
          <cell r="B152">
            <v>96</v>
          </cell>
          <cell r="E152" t="str">
            <v>不可取</v>
          </cell>
          <cell r="I152" t="str">
            <v>ABCW011-1</v>
          </cell>
          <cell r="J152">
            <v>10</v>
          </cell>
        </row>
        <row r="153">
          <cell r="B153">
            <v>97</v>
          </cell>
          <cell r="E153" t="str">
            <v>不可取</v>
          </cell>
          <cell r="I153" t="str">
            <v>ABCW011-1</v>
          </cell>
          <cell r="J153">
            <v>13</v>
          </cell>
        </row>
        <row r="154">
          <cell r="B154">
            <v>98</v>
          </cell>
          <cell r="E154" t="str">
            <v>不可取</v>
          </cell>
          <cell r="I154" t="str">
            <v>ABCW011-1</v>
          </cell>
          <cell r="J154">
            <v>8</v>
          </cell>
        </row>
        <row r="155">
          <cell r="B155">
            <v>99</v>
          </cell>
          <cell r="E155" t="str">
            <v>不可取</v>
          </cell>
          <cell r="I155" t="str">
            <v>ABCW011-1</v>
          </cell>
          <cell r="J155">
            <v>9</v>
          </cell>
        </row>
        <row r="156">
          <cell r="B156">
            <v>100</v>
          </cell>
          <cell r="E156" t="str">
            <v>不可取</v>
          </cell>
          <cell r="I156" t="str">
            <v>ABCW011-1</v>
          </cell>
          <cell r="J156">
            <v>13</v>
          </cell>
        </row>
        <row r="157">
          <cell r="B157">
            <v>101</v>
          </cell>
          <cell r="E157" t="str">
            <v>不可取</v>
          </cell>
          <cell r="I157" t="str">
            <v>ABCW011-1</v>
          </cell>
          <cell r="J157">
            <v>7</v>
          </cell>
        </row>
        <row r="158">
          <cell r="B158">
            <v>102</v>
          </cell>
          <cell r="E158" t="str">
            <v>不可取</v>
          </cell>
          <cell r="I158" t="str">
            <v>ABCW011-1</v>
          </cell>
          <cell r="J158">
            <v>8</v>
          </cell>
        </row>
        <row r="159">
          <cell r="B159">
            <v>103</v>
          </cell>
          <cell r="E159" t="str">
            <v>不可取</v>
          </cell>
          <cell r="I159" t="str">
            <v>ABCW011-1</v>
          </cell>
          <cell r="J159">
            <v>9</v>
          </cell>
        </row>
        <row r="160">
          <cell r="B160">
            <v>104</v>
          </cell>
          <cell r="E160" t="str">
            <v>不可取</v>
          </cell>
          <cell r="I160" t="str">
            <v>ABCW011-1</v>
          </cell>
          <cell r="J160">
            <v>10</v>
          </cell>
        </row>
        <row r="161">
          <cell r="B161">
            <v>105</v>
          </cell>
          <cell r="E161" t="str">
            <v>不可取</v>
          </cell>
          <cell r="I161" t="str">
            <v>ABCW011-1</v>
          </cell>
          <cell r="J161">
            <v>15</v>
          </cell>
        </row>
        <row r="162">
          <cell r="B162">
            <v>106</v>
          </cell>
          <cell r="E162" t="str">
            <v>不可取</v>
          </cell>
          <cell r="I162" t="str">
            <v>ABCW011-1</v>
          </cell>
          <cell r="J162">
            <v>14</v>
          </cell>
        </row>
        <row r="163">
          <cell r="B163">
            <v>107</v>
          </cell>
          <cell r="E163" t="str">
            <v>不可取</v>
          </cell>
          <cell r="I163" t="str">
            <v>ABCW011-1</v>
          </cell>
          <cell r="J163">
            <v>13</v>
          </cell>
        </row>
        <row r="164">
          <cell r="B164">
            <v>108</v>
          </cell>
          <cell r="E164" t="str">
            <v>不可取</v>
          </cell>
          <cell r="I164" t="str">
            <v>ABCW011-1</v>
          </cell>
          <cell r="J164">
            <v>15</v>
          </cell>
        </row>
        <row r="165">
          <cell r="B165">
            <v>109</v>
          </cell>
          <cell r="E165" t="str">
            <v>不可取</v>
          </cell>
          <cell r="I165" t="str">
            <v>ABCW011-1</v>
          </cell>
          <cell r="J165">
            <v>10</v>
          </cell>
        </row>
        <row r="166">
          <cell r="B166">
            <v>110</v>
          </cell>
          <cell r="E166" t="str">
            <v>不可取</v>
          </cell>
          <cell r="I166" t="str">
            <v>ABCW011-1</v>
          </cell>
          <cell r="J166">
            <v>11</v>
          </cell>
        </row>
        <row r="167">
          <cell r="B167">
            <v>111</v>
          </cell>
          <cell r="E167" t="str">
            <v>不可取</v>
          </cell>
          <cell r="I167" t="str">
            <v>ABCW011-1</v>
          </cell>
          <cell r="J167">
            <v>12</v>
          </cell>
        </row>
        <row r="168">
          <cell r="B168">
            <v>112</v>
          </cell>
          <cell r="E168" t="str">
            <v>不可取</v>
          </cell>
          <cell r="I168" t="str">
            <v>ABCW011-1</v>
          </cell>
          <cell r="J168">
            <v>9</v>
          </cell>
        </row>
        <row r="169">
          <cell r="B169">
            <v>113</v>
          </cell>
          <cell r="E169" t="str">
            <v>不可取</v>
          </cell>
          <cell r="I169" t="str">
            <v>ABCW011-1</v>
          </cell>
          <cell r="J169">
            <v>10</v>
          </cell>
        </row>
        <row r="170">
          <cell r="B170">
            <v>114</v>
          </cell>
          <cell r="E170" t="str">
            <v>不可取</v>
          </cell>
          <cell r="I170" t="str">
            <v>ABCW011-1</v>
          </cell>
          <cell r="J170">
            <v>15</v>
          </cell>
        </row>
        <row r="171">
          <cell r="B171">
            <v>115</v>
          </cell>
          <cell r="E171" t="str">
            <v>不可取</v>
          </cell>
          <cell r="I171" t="str">
            <v>ABCW011-1</v>
          </cell>
          <cell r="J171">
            <v>14</v>
          </cell>
        </row>
        <row r="172">
          <cell r="B172">
            <v>116</v>
          </cell>
          <cell r="E172" t="str">
            <v>不可取</v>
          </cell>
          <cell r="I172" t="str">
            <v>ABCW011-1</v>
          </cell>
          <cell r="J172">
            <v>13</v>
          </cell>
        </row>
        <row r="173">
          <cell r="B173">
            <v>117</v>
          </cell>
          <cell r="E173" t="str">
            <v>不可取</v>
          </cell>
          <cell r="I173" t="str">
            <v>ABCW011-1</v>
          </cell>
          <cell r="J173">
            <v>10</v>
          </cell>
        </row>
        <row r="174">
          <cell r="B174">
            <v>118</v>
          </cell>
          <cell r="E174" t="str">
            <v>不可取</v>
          </cell>
          <cell r="I174" t="str">
            <v>ABCW011-1</v>
          </cell>
          <cell r="J174">
            <v>15</v>
          </cell>
        </row>
        <row r="175">
          <cell r="B175">
            <v>119</v>
          </cell>
          <cell r="E175" t="str">
            <v>不可取</v>
          </cell>
          <cell r="I175" t="str">
            <v>ABCW011-1</v>
          </cell>
          <cell r="J175">
            <v>15</v>
          </cell>
        </row>
        <row r="176">
          <cell r="B176">
            <v>120</v>
          </cell>
          <cell r="E176" t="str">
            <v>不可取</v>
          </cell>
          <cell r="I176" t="str">
            <v>ABCW011-1</v>
          </cell>
          <cell r="J176">
            <v>10</v>
          </cell>
        </row>
        <row r="177">
          <cell r="B177">
            <v>121</v>
          </cell>
          <cell r="E177" t="str">
            <v>可取</v>
          </cell>
          <cell r="I177" t="str">
            <v>ABCW011-1</v>
          </cell>
          <cell r="J177">
            <v>13</v>
          </cell>
        </row>
        <row r="178">
          <cell r="B178">
            <v>122</v>
          </cell>
          <cell r="E178" t="str">
            <v>可取</v>
          </cell>
          <cell r="I178" t="str">
            <v>ABCW011-1</v>
          </cell>
          <cell r="J178">
            <v>8</v>
          </cell>
        </row>
        <row r="179">
          <cell r="B179">
            <v>123</v>
          </cell>
          <cell r="E179" t="str">
            <v>可取</v>
          </cell>
          <cell r="I179" t="str">
            <v>ABCW011-1</v>
          </cell>
          <cell r="J179">
            <v>9</v>
          </cell>
        </row>
        <row r="180">
          <cell r="B180">
            <v>124</v>
          </cell>
          <cell r="E180" t="str">
            <v>可取</v>
          </cell>
          <cell r="I180" t="str">
            <v>ABCW011-1</v>
          </cell>
          <cell r="J180">
            <v>13</v>
          </cell>
        </row>
        <row r="181">
          <cell r="B181">
            <v>125</v>
          </cell>
          <cell r="E181" t="str">
            <v>可取</v>
          </cell>
          <cell r="I181" t="str">
            <v>ABCW011-1</v>
          </cell>
          <cell r="J181">
            <v>7</v>
          </cell>
        </row>
        <row r="182">
          <cell r="B182">
            <v>126</v>
          </cell>
          <cell r="E182" t="str">
            <v>可取</v>
          </cell>
          <cell r="I182" t="str">
            <v>ABCW011-1</v>
          </cell>
          <cell r="J182">
            <v>4</v>
          </cell>
        </row>
        <row r="183">
          <cell r="B183">
            <v>127</v>
          </cell>
          <cell r="E183" t="str">
            <v>可取</v>
          </cell>
          <cell r="I183" t="str">
            <v>ABCW011-1</v>
          </cell>
          <cell r="J183">
            <v>8</v>
          </cell>
        </row>
        <row r="184">
          <cell r="B184">
            <v>1</v>
          </cell>
          <cell r="E184" t="str">
            <v>不可取</v>
          </cell>
          <cell r="I184" t="str">
            <v>ABPV009-6</v>
          </cell>
          <cell r="J184">
            <v>3</v>
          </cell>
        </row>
        <row r="185">
          <cell r="B185">
            <v>2</v>
          </cell>
          <cell r="E185" t="str">
            <v>不可取</v>
          </cell>
          <cell r="I185" t="str">
            <v>ABPV009-6</v>
          </cell>
          <cell r="J185">
            <v>5</v>
          </cell>
        </row>
        <row r="186">
          <cell r="B186">
            <v>3</v>
          </cell>
          <cell r="E186" t="str">
            <v>不可取</v>
          </cell>
          <cell r="I186" t="str">
            <v>ABPV009-6</v>
          </cell>
          <cell r="J186">
            <v>6</v>
          </cell>
        </row>
        <row r="187">
          <cell r="B187">
            <v>4</v>
          </cell>
          <cell r="E187" t="str">
            <v>不可取</v>
          </cell>
          <cell r="I187" t="str">
            <v>ABPV009-6</v>
          </cell>
          <cell r="J187">
            <v>8</v>
          </cell>
        </row>
        <row r="188">
          <cell r="B188">
            <v>5</v>
          </cell>
          <cell r="E188" t="str">
            <v>不可取</v>
          </cell>
          <cell r="I188" t="str">
            <v>ABPV009-6</v>
          </cell>
          <cell r="J188">
            <v>9</v>
          </cell>
        </row>
        <row r="189">
          <cell r="B189">
            <v>6</v>
          </cell>
          <cell r="E189" t="str">
            <v>不可取</v>
          </cell>
          <cell r="I189" t="str">
            <v>ABPV009-6</v>
          </cell>
          <cell r="J189">
            <v>7</v>
          </cell>
        </row>
        <row r="190">
          <cell r="B190">
            <v>7</v>
          </cell>
          <cell r="E190" t="str">
            <v>不可取</v>
          </cell>
          <cell r="I190" t="str">
            <v>ABPV009-6</v>
          </cell>
          <cell r="J190">
            <v>5</v>
          </cell>
        </row>
        <row r="191">
          <cell r="B191">
            <v>8</v>
          </cell>
          <cell r="E191" t="str">
            <v>不可取</v>
          </cell>
          <cell r="I191" t="str">
            <v>ABPV009-6</v>
          </cell>
          <cell r="J191">
            <v>6</v>
          </cell>
        </row>
        <row r="192">
          <cell r="B192">
            <v>9</v>
          </cell>
          <cell r="E192" t="str">
            <v>不可取</v>
          </cell>
          <cell r="I192" t="str">
            <v>ABPV009-6</v>
          </cell>
          <cell r="J192">
            <v>2</v>
          </cell>
        </row>
        <row r="193">
          <cell r="B193">
            <v>10</v>
          </cell>
          <cell r="E193" t="str">
            <v>不可取</v>
          </cell>
          <cell r="I193" t="str">
            <v>ABPV009-6</v>
          </cell>
          <cell r="J193">
            <v>4</v>
          </cell>
        </row>
        <row r="194">
          <cell r="B194">
            <v>11</v>
          </cell>
          <cell r="E194" t="str">
            <v>不可取</v>
          </cell>
          <cell r="I194" t="str">
            <v>ABPV009-6</v>
          </cell>
          <cell r="J194">
            <v>5</v>
          </cell>
        </row>
        <row r="195">
          <cell r="B195">
            <v>12</v>
          </cell>
          <cell r="E195" t="str">
            <v>不可取</v>
          </cell>
          <cell r="I195" t="str">
            <v>ABPV009-6</v>
          </cell>
          <cell r="J195">
            <v>7</v>
          </cell>
        </row>
        <row r="196">
          <cell r="B196">
            <v>13</v>
          </cell>
          <cell r="E196" t="str">
            <v>不可取</v>
          </cell>
          <cell r="I196" t="str">
            <v>ABPV009-6</v>
          </cell>
          <cell r="J196">
            <v>8</v>
          </cell>
        </row>
        <row r="197">
          <cell r="B197">
            <v>14</v>
          </cell>
          <cell r="E197" t="str">
            <v>不可取</v>
          </cell>
          <cell r="I197" t="str">
            <v>ABPV009-6</v>
          </cell>
          <cell r="J197">
            <v>9</v>
          </cell>
        </row>
        <row r="198">
          <cell r="B198">
            <v>15</v>
          </cell>
          <cell r="E198" t="str">
            <v>不可取</v>
          </cell>
          <cell r="I198" t="str">
            <v>ABPV009-6</v>
          </cell>
          <cell r="J198">
            <v>11</v>
          </cell>
        </row>
        <row r="199">
          <cell r="B199">
            <v>16</v>
          </cell>
          <cell r="E199" t="str">
            <v>不可取</v>
          </cell>
          <cell r="I199" t="str">
            <v>ABPV009-6</v>
          </cell>
          <cell r="J199">
            <v>9</v>
          </cell>
        </row>
        <row r="200">
          <cell r="B200">
            <v>17</v>
          </cell>
          <cell r="E200" t="str">
            <v>不可取</v>
          </cell>
          <cell r="I200" t="str">
            <v>ABPV009-6</v>
          </cell>
          <cell r="J200">
            <v>9</v>
          </cell>
        </row>
        <row r="201">
          <cell r="B201">
            <v>18</v>
          </cell>
          <cell r="E201" t="str">
            <v>不可取</v>
          </cell>
          <cell r="I201" t="str">
            <v>ABPV009-6</v>
          </cell>
          <cell r="J201">
            <v>7</v>
          </cell>
        </row>
        <row r="202">
          <cell r="B202">
            <v>19</v>
          </cell>
          <cell r="E202" t="str">
            <v>不可取</v>
          </cell>
          <cell r="I202" t="str">
            <v>ABPV009-6</v>
          </cell>
          <cell r="J202">
            <v>5</v>
          </cell>
        </row>
        <row r="203">
          <cell r="B203">
            <v>20</v>
          </cell>
          <cell r="E203" t="str">
            <v>不可取</v>
          </cell>
          <cell r="I203" t="str">
            <v>ABPV009-6</v>
          </cell>
          <cell r="J203">
            <v>6</v>
          </cell>
        </row>
        <row r="204">
          <cell r="B204">
            <v>21</v>
          </cell>
          <cell r="E204" t="str">
            <v>不可取</v>
          </cell>
          <cell r="I204" t="str">
            <v>ABPV009-6</v>
          </cell>
          <cell r="J204">
            <v>13</v>
          </cell>
        </row>
        <row r="205">
          <cell r="B205">
            <v>22</v>
          </cell>
          <cell r="E205" t="str">
            <v>不可取</v>
          </cell>
          <cell r="I205" t="str">
            <v>ABPV009-6</v>
          </cell>
          <cell r="J205">
            <v>9</v>
          </cell>
        </row>
        <row r="206">
          <cell r="B206">
            <v>23</v>
          </cell>
          <cell r="E206" t="str">
            <v>不可取</v>
          </cell>
          <cell r="I206" t="str">
            <v>ABPV009-6</v>
          </cell>
          <cell r="J206">
            <v>7</v>
          </cell>
        </row>
        <row r="207">
          <cell r="B207">
            <v>24</v>
          </cell>
          <cell r="E207" t="str">
            <v>不可取</v>
          </cell>
          <cell r="I207" t="str">
            <v>ABPV009-6</v>
          </cell>
          <cell r="J207">
            <v>5</v>
          </cell>
        </row>
        <row r="208">
          <cell r="B208">
            <v>25</v>
          </cell>
          <cell r="E208" t="str">
            <v>不可取</v>
          </cell>
          <cell r="I208" t="str">
            <v>ABPV009-6</v>
          </cell>
          <cell r="J208">
            <v>6</v>
          </cell>
        </row>
        <row r="209">
          <cell r="B209">
            <v>26</v>
          </cell>
          <cell r="E209" t="str">
            <v>可取</v>
          </cell>
          <cell r="I209" t="str">
            <v>ABPV009-6</v>
          </cell>
          <cell r="J209">
            <v>8</v>
          </cell>
        </row>
        <row r="210">
          <cell r="B210">
            <v>27</v>
          </cell>
          <cell r="E210" t="str">
            <v>可取</v>
          </cell>
          <cell r="I210" t="str">
            <v>ABPV009-6</v>
          </cell>
          <cell r="J210">
            <v>9</v>
          </cell>
        </row>
        <row r="211">
          <cell r="B211">
            <v>28</v>
          </cell>
          <cell r="E211" t="str">
            <v>可取</v>
          </cell>
          <cell r="I211" t="str">
            <v>ABPV009-6</v>
          </cell>
          <cell r="J211">
            <v>7</v>
          </cell>
        </row>
        <row r="212">
          <cell r="B212">
            <v>29</v>
          </cell>
          <cell r="E212" t="str">
            <v>可取</v>
          </cell>
          <cell r="I212" t="str">
            <v>ABPV009-6</v>
          </cell>
          <cell r="J212">
            <v>5</v>
          </cell>
        </row>
        <row r="213">
          <cell r="B213">
            <v>30</v>
          </cell>
          <cell r="E213" t="str">
            <v>可取</v>
          </cell>
          <cell r="I213" t="str">
            <v>ABPV009-6</v>
          </cell>
          <cell r="J213">
            <v>6</v>
          </cell>
        </row>
        <row r="214">
          <cell r="B214">
            <v>31</v>
          </cell>
          <cell r="E214" t="str">
            <v>可取</v>
          </cell>
          <cell r="I214" t="str">
            <v>ABPV009-6</v>
          </cell>
          <cell r="J214">
            <v>8</v>
          </cell>
        </row>
        <row r="215">
          <cell r="B215">
            <v>32</v>
          </cell>
          <cell r="E215" t="str">
            <v>可取</v>
          </cell>
          <cell r="I215" t="str">
            <v>ABPV009-6</v>
          </cell>
          <cell r="J215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M18"/>
  <sheetViews>
    <sheetView tabSelected="1" workbookViewId="0">
      <selection activeCell="Q20" sqref="Q20"/>
    </sheetView>
  </sheetViews>
  <sheetFormatPr defaultColWidth="9" defaultRowHeight="14" x14ac:dyDescent="0.25"/>
  <cols>
    <col min="1" max="1" width="20.36328125" style="24" customWidth="1"/>
    <col min="2" max="2" width="11.453125"/>
    <col min="9" max="11" width="9" hidden="1" customWidth="1"/>
    <col min="12" max="12" width="9" customWidth="1"/>
    <col min="13" max="14" width="9" hidden="1" customWidth="1"/>
    <col min="15" max="15" width="19.36328125" customWidth="1"/>
    <col min="16" max="114" width="4.36328125" customWidth="1"/>
    <col min="115" max="195" width="4.7265625" customWidth="1"/>
  </cols>
  <sheetData>
    <row r="1" spans="1:195" x14ac:dyDescent="0.25">
      <c r="A1" s="1" t="s">
        <v>0</v>
      </c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4"/>
      <c r="O1" s="5"/>
      <c r="P1" s="6"/>
      <c r="Q1" s="6"/>
      <c r="R1" s="6"/>
      <c r="S1" s="6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</row>
    <row r="2" spans="1:195" x14ac:dyDescent="0.25">
      <c r="A2" s="1" t="s">
        <v>21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4"/>
      <c r="O2" s="5"/>
      <c r="P2" s="6"/>
      <c r="Q2" s="6"/>
      <c r="R2" s="6"/>
      <c r="S2" s="6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</row>
    <row r="3" spans="1:195" x14ac:dyDescent="0.25">
      <c r="A3" s="8"/>
      <c r="B3" s="7"/>
      <c r="C3" s="8"/>
      <c r="D3" s="8"/>
      <c r="E3" s="8"/>
      <c r="F3" s="8"/>
      <c r="G3" s="8"/>
      <c r="H3" s="9"/>
      <c r="I3" s="8"/>
      <c r="J3" s="8"/>
      <c r="K3" s="8"/>
      <c r="L3" s="8"/>
      <c r="M3" s="8"/>
      <c r="N3" s="10"/>
      <c r="O3" s="11"/>
      <c r="P3" s="35" t="s">
        <v>1</v>
      </c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6" t="s">
        <v>2</v>
      </c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7" t="s">
        <v>3</v>
      </c>
      <c r="EG3" s="37"/>
      <c r="EH3" s="37"/>
      <c r="EI3" s="37"/>
      <c r="EJ3" s="37"/>
      <c r="EK3" s="37"/>
      <c r="EL3" s="37"/>
      <c r="EM3" s="37"/>
      <c r="EN3" s="37"/>
      <c r="EO3" s="37"/>
      <c r="EP3" s="37"/>
      <c r="EQ3" s="37"/>
      <c r="ER3" s="37"/>
      <c r="ES3" s="37"/>
      <c r="ET3" s="37"/>
      <c r="EU3" s="37"/>
      <c r="EV3" s="37"/>
      <c r="EW3" s="37"/>
      <c r="EX3" s="37"/>
      <c r="EY3" s="37"/>
      <c r="EZ3" s="37"/>
      <c r="FA3" s="37"/>
      <c r="FB3" s="37"/>
      <c r="FC3" s="37"/>
      <c r="FD3" s="37"/>
      <c r="FE3" s="37"/>
      <c r="FF3" s="37"/>
      <c r="FG3" s="37"/>
      <c r="FH3" s="37"/>
      <c r="FI3" s="37"/>
      <c r="FJ3" s="37"/>
      <c r="FK3" s="37"/>
      <c r="FL3" s="37"/>
      <c r="FM3" s="37"/>
      <c r="FN3" s="37"/>
      <c r="FO3" s="37"/>
      <c r="FP3" s="37"/>
      <c r="FQ3" s="37"/>
      <c r="FR3" s="37"/>
      <c r="FS3" s="37"/>
      <c r="FT3" s="37"/>
      <c r="FU3" s="37"/>
      <c r="FV3" s="37"/>
      <c r="FW3" s="37"/>
      <c r="FX3" s="37"/>
      <c r="FY3" s="37"/>
      <c r="FZ3" s="37"/>
      <c r="GA3" s="37"/>
      <c r="GB3" s="37"/>
      <c r="GC3" s="37"/>
      <c r="GD3" s="37"/>
      <c r="GE3" s="37"/>
      <c r="GF3" s="37"/>
      <c r="GG3" s="37"/>
      <c r="GH3" s="37"/>
      <c r="GI3" s="37"/>
      <c r="GJ3" s="37"/>
      <c r="GK3" s="37"/>
      <c r="GL3" s="37"/>
      <c r="GM3" s="37"/>
    </row>
    <row r="4" spans="1:195" ht="42" x14ac:dyDescent="0.25">
      <c r="A4" s="13" t="s">
        <v>4</v>
      </c>
      <c r="B4" s="12" t="s">
        <v>5</v>
      </c>
      <c r="C4" s="13" t="s">
        <v>6</v>
      </c>
      <c r="D4" s="13" t="s">
        <v>7</v>
      </c>
      <c r="E4" s="13" t="s">
        <v>8</v>
      </c>
      <c r="F4" s="13" t="s">
        <v>9</v>
      </c>
      <c r="G4" s="13" t="s">
        <v>10</v>
      </c>
      <c r="H4" s="14" t="s">
        <v>11</v>
      </c>
      <c r="I4" s="15" t="s">
        <v>12</v>
      </c>
      <c r="J4" s="15" t="s">
        <v>13</v>
      </c>
      <c r="K4" s="15" t="s">
        <v>14</v>
      </c>
      <c r="L4" s="13" t="s">
        <v>15</v>
      </c>
      <c r="M4" s="13" t="s">
        <v>22</v>
      </c>
      <c r="N4" s="16" t="s">
        <v>16</v>
      </c>
      <c r="O4" s="17"/>
      <c r="P4" s="18">
        <v>1</v>
      </c>
      <c r="Q4" s="18">
        <v>2</v>
      </c>
      <c r="R4" s="18">
        <v>3</v>
      </c>
      <c r="S4" s="18">
        <v>4</v>
      </c>
      <c r="T4" s="13">
        <v>5</v>
      </c>
      <c r="U4" s="13">
        <v>6</v>
      </c>
      <c r="V4" s="13">
        <v>7</v>
      </c>
      <c r="W4" s="13">
        <v>8</v>
      </c>
      <c r="X4" s="13">
        <v>9</v>
      </c>
      <c r="Y4" s="13">
        <v>10</v>
      </c>
      <c r="Z4" s="13">
        <v>11</v>
      </c>
      <c r="AA4" s="13">
        <v>12</v>
      </c>
      <c r="AB4" s="13">
        <v>13</v>
      </c>
      <c r="AC4" s="13">
        <v>14</v>
      </c>
      <c r="AD4" s="13">
        <v>15</v>
      </c>
      <c r="AE4" s="13">
        <v>16</v>
      </c>
      <c r="AF4" s="13">
        <v>17</v>
      </c>
      <c r="AG4" s="13">
        <v>18</v>
      </c>
      <c r="AH4" s="13">
        <v>19</v>
      </c>
      <c r="AI4" s="13">
        <v>20</v>
      </c>
      <c r="AJ4" s="13">
        <v>21</v>
      </c>
      <c r="AK4" s="13">
        <v>22</v>
      </c>
      <c r="AL4" s="13">
        <v>23</v>
      </c>
      <c r="AM4" s="13">
        <v>24</v>
      </c>
      <c r="AN4" s="13">
        <v>25</v>
      </c>
      <c r="AO4" s="13">
        <v>26</v>
      </c>
      <c r="AP4" s="13">
        <v>27</v>
      </c>
      <c r="AQ4" s="13">
        <v>28</v>
      </c>
      <c r="AR4" s="13">
        <v>29</v>
      </c>
      <c r="AS4" s="13">
        <v>30</v>
      </c>
      <c r="AT4" s="13">
        <v>31</v>
      </c>
      <c r="AU4" s="13">
        <v>32</v>
      </c>
      <c r="AV4" s="13">
        <v>33</v>
      </c>
      <c r="AW4" s="13">
        <v>34</v>
      </c>
      <c r="AX4" s="13">
        <v>35</v>
      </c>
      <c r="AY4" s="13">
        <v>36</v>
      </c>
      <c r="AZ4" s="13">
        <v>37</v>
      </c>
      <c r="BA4" s="13">
        <v>38</v>
      </c>
      <c r="BB4" s="13">
        <v>39</v>
      </c>
      <c r="BC4" s="13">
        <v>40</v>
      </c>
      <c r="BD4" s="13">
        <v>41</v>
      </c>
      <c r="BE4" s="13">
        <v>42</v>
      </c>
      <c r="BF4" s="13">
        <v>43</v>
      </c>
      <c r="BG4" s="13">
        <v>44</v>
      </c>
      <c r="BH4" s="13">
        <v>45</v>
      </c>
      <c r="BI4" s="13">
        <v>46</v>
      </c>
      <c r="BJ4" s="13">
        <v>47</v>
      </c>
      <c r="BK4" s="13">
        <v>48</v>
      </c>
      <c r="BL4" s="13">
        <v>49</v>
      </c>
      <c r="BM4" s="13">
        <v>50</v>
      </c>
      <c r="BN4" s="13">
        <v>51</v>
      </c>
      <c r="BO4" s="13">
        <v>52</v>
      </c>
      <c r="BP4" s="13">
        <v>53</v>
      </c>
      <c r="BQ4" s="13">
        <v>54</v>
      </c>
      <c r="BR4" s="13">
        <v>55</v>
      </c>
      <c r="BS4" s="13">
        <v>56</v>
      </c>
      <c r="BT4" s="13">
        <v>57</v>
      </c>
      <c r="BU4" s="13">
        <v>58</v>
      </c>
      <c r="BV4" s="13">
        <v>59</v>
      </c>
      <c r="BW4" s="13">
        <v>60</v>
      </c>
      <c r="BX4" s="13">
        <v>61</v>
      </c>
      <c r="BY4" s="13">
        <v>62</v>
      </c>
      <c r="BZ4" s="13">
        <v>63</v>
      </c>
      <c r="CA4" s="13">
        <v>64</v>
      </c>
      <c r="CB4" s="13">
        <v>65</v>
      </c>
      <c r="CC4" s="13">
        <v>66</v>
      </c>
      <c r="CD4" s="13">
        <v>67</v>
      </c>
      <c r="CE4" s="13">
        <v>68</v>
      </c>
      <c r="CF4" s="13">
        <v>69</v>
      </c>
      <c r="CG4" s="13">
        <v>70</v>
      </c>
      <c r="CH4" s="13">
        <v>71</v>
      </c>
      <c r="CI4" s="13">
        <v>72</v>
      </c>
      <c r="CJ4" s="13">
        <v>73</v>
      </c>
      <c r="CK4" s="13">
        <v>74</v>
      </c>
      <c r="CL4" s="13">
        <v>75</v>
      </c>
      <c r="CM4" s="13">
        <v>76</v>
      </c>
      <c r="CN4" s="13">
        <v>77</v>
      </c>
      <c r="CO4" s="13">
        <v>78</v>
      </c>
      <c r="CP4" s="13">
        <v>79</v>
      </c>
      <c r="CQ4" s="13">
        <v>80</v>
      </c>
      <c r="CR4" s="13">
        <v>81</v>
      </c>
      <c r="CS4" s="13">
        <v>82</v>
      </c>
      <c r="CT4" s="13">
        <v>83</v>
      </c>
      <c r="CU4" s="13">
        <v>84</v>
      </c>
      <c r="CV4" s="13">
        <v>85</v>
      </c>
      <c r="CW4" s="13">
        <v>86</v>
      </c>
      <c r="CX4" s="13">
        <v>87</v>
      </c>
      <c r="CY4" s="13">
        <v>88</v>
      </c>
      <c r="CZ4" s="13">
        <v>89</v>
      </c>
      <c r="DA4" s="13">
        <v>90</v>
      </c>
      <c r="DB4" s="13">
        <v>91</v>
      </c>
      <c r="DC4" s="13">
        <v>92</v>
      </c>
      <c r="DD4" s="13">
        <v>93</v>
      </c>
      <c r="DE4" s="13">
        <v>94</v>
      </c>
      <c r="DF4" s="13">
        <v>95</v>
      </c>
      <c r="DG4" s="13">
        <v>96</v>
      </c>
      <c r="DH4" s="13">
        <v>97</v>
      </c>
      <c r="DI4" s="13">
        <v>98</v>
      </c>
      <c r="DJ4" s="13">
        <v>99</v>
      </c>
      <c r="DK4" s="13">
        <v>100</v>
      </c>
      <c r="DL4" s="13">
        <v>101</v>
      </c>
      <c r="DM4" s="13">
        <v>102</v>
      </c>
      <c r="DN4" s="13">
        <v>103</v>
      </c>
      <c r="DO4" s="13">
        <v>104</v>
      </c>
      <c r="DP4" s="13">
        <v>105</v>
      </c>
      <c r="DQ4" s="13">
        <v>106</v>
      </c>
      <c r="DR4" s="13">
        <v>107</v>
      </c>
      <c r="DS4" s="13">
        <v>108</v>
      </c>
      <c r="DT4" s="13">
        <v>109</v>
      </c>
      <c r="DU4" s="13">
        <v>110</v>
      </c>
      <c r="DV4" s="13">
        <v>111</v>
      </c>
      <c r="DW4" s="13">
        <v>112</v>
      </c>
      <c r="DX4" s="13">
        <v>113</v>
      </c>
      <c r="DY4" s="13">
        <v>114</v>
      </c>
      <c r="DZ4" s="13">
        <v>115</v>
      </c>
      <c r="EA4" s="13">
        <v>116</v>
      </c>
      <c r="EB4" s="13">
        <v>117</v>
      </c>
      <c r="EC4" s="13">
        <v>118</v>
      </c>
      <c r="ED4" s="13">
        <v>119</v>
      </c>
      <c r="EE4" s="13">
        <v>120</v>
      </c>
      <c r="EF4" s="13">
        <v>121</v>
      </c>
      <c r="EG4" s="13">
        <v>122</v>
      </c>
      <c r="EH4" s="13">
        <v>123</v>
      </c>
      <c r="EI4" s="13">
        <v>124</v>
      </c>
      <c r="EJ4" s="13">
        <v>125</v>
      </c>
      <c r="EK4" s="13">
        <v>126</v>
      </c>
      <c r="EL4" s="13">
        <v>127</v>
      </c>
      <c r="EM4" s="13">
        <v>128</v>
      </c>
      <c r="EN4" s="13">
        <v>129</v>
      </c>
      <c r="EO4" s="13">
        <v>130</v>
      </c>
      <c r="EP4" s="13">
        <v>131</v>
      </c>
      <c r="EQ4" s="13">
        <v>132</v>
      </c>
      <c r="ER4" s="13">
        <v>133</v>
      </c>
      <c r="ES4" s="13">
        <v>134</v>
      </c>
      <c r="ET4" s="13">
        <v>135</v>
      </c>
      <c r="EU4" s="13">
        <v>136</v>
      </c>
      <c r="EV4" s="13">
        <v>137</v>
      </c>
      <c r="EW4" s="13">
        <v>138</v>
      </c>
      <c r="EX4" s="13">
        <v>139</v>
      </c>
      <c r="EY4" s="13">
        <v>140</v>
      </c>
      <c r="EZ4" s="13">
        <v>141</v>
      </c>
      <c r="FA4" s="13">
        <v>142</v>
      </c>
      <c r="FB4" s="13">
        <v>143</v>
      </c>
      <c r="FC4" s="13">
        <v>144</v>
      </c>
      <c r="FD4" s="13">
        <v>145</v>
      </c>
      <c r="FE4" s="13">
        <v>146</v>
      </c>
      <c r="FF4" s="13">
        <v>147</v>
      </c>
      <c r="FG4" s="13">
        <v>148</v>
      </c>
      <c r="FH4" s="13">
        <v>149</v>
      </c>
      <c r="FI4" s="13">
        <v>150</v>
      </c>
      <c r="FJ4" s="13">
        <v>151</v>
      </c>
      <c r="FK4" s="13">
        <v>152</v>
      </c>
      <c r="FL4" s="13">
        <v>153</v>
      </c>
      <c r="FM4" s="13">
        <v>154</v>
      </c>
      <c r="FN4" s="13">
        <v>155</v>
      </c>
      <c r="FO4" s="13">
        <v>156</v>
      </c>
      <c r="FP4" s="13">
        <v>157</v>
      </c>
      <c r="FQ4" s="13">
        <v>158</v>
      </c>
      <c r="FR4" s="13">
        <v>159</v>
      </c>
      <c r="FS4" s="13">
        <v>160</v>
      </c>
      <c r="FT4" s="13">
        <v>161</v>
      </c>
      <c r="FU4" s="13">
        <v>162</v>
      </c>
      <c r="FV4" s="13">
        <v>163</v>
      </c>
      <c r="FW4" s="13">
        <v>164</v>
      </c>
      <c r="FX4" s="13">
        <v>165</v>
      </c>
      <c r="FY4" s="13">
        <v>166</v>
      </c>
      <c r="FZ4" s="13">
        <v>167</v>
      </c>
      <c r="GA4" s="13">
        <v>168</v>
      </c>
      <c r="GB4" s="13">
        <v>169</v>
      </c>
      <c r="GC4" s="13">
        <v>170</v>
      </c>
      <c r="GD4" s="13">
        <v>171</v>
      </c>
      <c r="GE4" s="13">
        <v>172</v>
      </c>
      <c r="GF4" s="13">
        <v>173</v>
      </c>
      <c r="GG4" s="13">
        <v>174</v>
      </c>
      <c r="GH4" s="13">
        <v>175</v>
      </c>
      <c r="GI4" s="13">
        <v>176</v>
      </c>
      <c r="GJ4" s="13">
        <v>177</v>
      </c>
      <c r="GK4" s="13">
        <v>178</v>
      </c>
      <c r="GL4" s="13">
        <v>179</v>
      </c>
      <c r="GM4" s="13">
        <v>180</v>
      </c>
    </row>
    <row r="5" spans="1:195" x14ac:dyDescent="0.25">
      <c r="A5" s="8" t="s">
        <v>17</v>
      </c>
      <c r="B5" s="19">
        <v>46062</v>
      </c>
      <c r="C5" s="8">
        <f t="shared" ref="C5:C11" ca="1" si="0">TODAY()-B5+1</f>
        <v>137</v>
      </c>
      <c r="D5" s="8" t="str" cm="1">
        <f t="array" ref="D5" ca="1">_xlfn.IFS(AND(TODAY()-B5&lt;=30,TODAY()-B5&gt;=0),"新品期",AND(TODAY()-B5&gt;=31,TODAY()-B5&lt;=120),"热销期",AND(TODAY()-B5&gt;=121,TODAY()-B5&lt;=180),"清货期",TODAY()-B5&gt;180,"滞销")</f>
        <v>清货期</v>
      </c>
      <c r="E5" s="8">
        <f t="shared" ref="E5:E11" si="1">L5-G5</f>
        <v>3569</v>
      </c>
      <c r="F5" s="8"/>
      <c r="G5" s="8">
        <f>SUMIF([1]销售表!I:I,A5,[1]销售表!J:J)</f>
        <v>1431</v>
      </c>
      <c r="H5" s="9">
        <f t="shared" ref="H5:H11" si="2">G5/L5</f>
        <v>0.28620000000000001</v>
      </c>
      <c r="I5" s="8"/>
      <c r="J5" s="8">
        <f>SUMIFS([1]销售表!J:J,[1]销售表!I:I,A5,[1]销售表!E:E,"可取")</f>
        <v>41</v>
      </c>
      <c r="K5" s="8"/>
      <c r="L5" s="8">
        <v>5000</v>
      </c>
      <c r="M5" s="10">
        <f>_xlfn.XLOOKUP(A5,[1]销售表!I:I,[1]销售表!J:J,0,0,-1)</f>
        <v>8</v>
      </c>
      <c r="N5" s="10" cm="1">
        <f t="array" ref="N5" ca="1">IF(C5&gt;180,"0",INDEX(P5:GM5,C5))</f>
        <v>27.7777777777778</v>
      </c>
      <c r="O5" s="20" t="s">
        <v>23</v>
      </c>
      <c r="P5" s="21">
        <f t="shared" ref="P5:AS5" si="3">$L5*80%/180</f>
        <v>22.2222222222222</v>
      </c>
      <c r="Q5" s="21">
        <f t="shared" si="3"/>
        <v>22.2222222222222</v>
      </c>
      <c r="R5" s="21">
        <f t="shared" si="3"/>
        <v>22.2222222222222</v>
      </c>
      <c r="S5" s="21">
        <f t="shared" si="3"/>
        <v>22.2222222222222</v>
      </c>
      <c r="T5" s="21">
        <f t="shared" si="3"/>
        <v>22.2222222222222</v>
      </c>
      <c r="U5" s="21">
        <f t="shared" si="3"/>
        <v>22.2222222222222</v>
      </c>
      <c r="V5" s="21">
        <f t="shared" si="3"/>
        <v>22.2222222222222</v>
      </c>
      <c r="W5" s="21">
        <f t="shared" si="3"/>
        <v>22.2222222222222</v>
      </c>
      <c r="X5" s="21">
        <f t="shared" si="3"/>
        <v>22.2222222222222</v>
      </c>
      <c r="Y5" s="21">
        <f t="shared" si="3"/>
        <v>22.2222222222222</v>
      </c>
      <c r="Z5" s="21">
        <f t="shared" si="3"/>
        <v>22.2222222222222</v>
      </c>
      <c r="AA5" s="21">
        <f t="shared" si="3"/>
        <v>22.2222222222222</v>
      </c>
      <c r="AB5" s="21">
        <f t="shared" si="3"/>
        <v>22.2222222222222</v>
      </c>
      <c r="AC5" s="21">
        <f t="shared" si="3"/>
        <v>22.2222222222222</v>
      </c>
      <c r="AD5" s="21">
        <f t="shared" si="3"/>
        <v>22.2222222222222</v>
      </c>
      <c r="AE5" s="21">
        <f t="shared" si="3"/>
        <v>22.2222222222222</v>
      </c>
      <c r="AF5" s="21">
        <f t="shared" si="3"/>
        <v>22.2222222222222</v>
      </c>
      <c r="AG5" s="21">
        <f t="shared" si="3"/>
        <v>22.2222222222222</v>
      </c>
      <c r="AH5" s="21">
        <f t="shared" si="3"/>
        <v>22.2222222222222</v>
      </c>
      <c r="AI5" s="21">
        <f t="shared" si="3"/>
        <v>22.2222222222222</v>
      </c>
      <c r="AJ5" s="21">
        <f t="shared" si="3"/>
        <v>22.2222222222222</v>
      </c>
      <c r="AK5" s="21">
        <f t="shared" si="3"/>
        <v>22.2222222222222</v>
      </c>
      <c r="AL5" s="21">
        <f t="shared" si="3"/>
        <v>22.2222222222222</v>
      </c>
      <c r="AM5" s="21">
        <f t="shared" si="3"/>
        <v>22.2222222222222</v>
      </c>
      <c r="AN5" s="21">
        <f t="shared" si="3"/>
        <v>22.2222222222222</v>
      </c>
      <c r="AO5" s="21">
        <f t="shared" si="3"/>
        <v>22.2222222222222</v>
      </c>
      <c r="AP5" s="21">
        <f t="shared" si="3"/>
        <v>22.2222222222222</v>
      </c>
      <c r="AQ5" s="21">
        <f t="shared" si="3"/>
        <v>22.2222222222222</v>
      </c>
      <c r="AR5" s="21">
        <f t="shared" si="3"/>
        <v>22.2222222222222</v>
      </c>
      <c r="AS5" s="21">
        <f t="shared" si="3"/>
        <v>22.2222222222222</v>
      </c>
      <c r="AT5" s="21">
        <f t="shared" ref="AT5:DE5" si="4">$L5*110%/180</f>
        <v>30.5555555555556</v>
      </c>
      <c r="AU5" s="21">
        <f t="shared" si="4"/>
        <v>30.5555555555556</v>
      </c>
      <c r="AV5" s="21">
        <f t="shared" si="4"/>
        <v>30.5555555555556</v>
      </c>
      <c r="AW5" s="21">
        <f t="shared" si="4"/>
        <v>30.5555555555556</v>
      </c>
      <c r="AX5" s="21">
        <f t="shared" si="4"/>
        <v>30.5555555555556</v>
      </c>
      <c r="AY5" s="21">
        <f t="shared" si="4"/>
        <v>30.5555555555556</v>
      </c>
      <c r="AZ5" s="21">
        <f t="shared" si="4"/>
        <v>30.5555555555556</v>
      </c>
      <c r="BA5" s="21">
        <f t="shared" si="4"/>
        <v>30.5555555555556</v>
      </c>
      <c r="BB5" s="21">
        <f t="shared" si="4"/>
        <v>30.5555555555556</v>
      </c>
      <c r="BC5" s="21">
        <f t="shared" si="4"/>
        <v>30.5555555555556</v>
      </c>
      <c r="BD5" s="21">
        <f t="shared" si="4"/>
        <v>30.5555555555556</v>
      </c>
      <c r="BE5" s="21">
        <f t="shared" si="4"/>
        <v>30.5555555555556</v>
      </c>
      <c r="BF5" s="21">
        <f t="shared" si="4"/>
        <v>30.5555555555556</v>
      </c>
      <c r="BG5" s="21">
        <f t="shared" si="4"/>
        <v>30.5555555555556</v>
      </c>
      <c r="BH5" s="21">
        <f t="shared" si="4"/>
        <v>30.5555555555556</v>
      </c>
      <c r="BI5" s="21">
        <f t="shared" si="4"/>
        <v>30.5555555555556</v>
      </c>
      <c r="BJ5" s="21">
        <f t="shared" si="4"/>
        <v>30.5555555555556</v>
      </c>
      <c r="BK5" s="21">
        <f t="shared" si="4"/>
        <v>30.5555555555556</v>
      </c>
      <c r="BL5" s="21">
        <f t="shared" si="4"/>
        <v>30.5555555555556</v>
      </c>
      <c r="BM5" s="21">
        <f t="shared" si="4"/>
        <v>30.5555555555556</v>
      </c>
      <c r="BN5" s="21">
        <f t="shared" si="4"/>
        <v>30.5555555555556</v>
      </c>
      <c r="BO5" s="21">
        <f t="shared" si="4"/>
        <v>30.5555555555556</v>
      </c>
      <c r="BP5" s="21">
        <f t="shared" si="4"/>
        <v>30.5555555555556</v>
      </c>
      <c r="BQ5" s="21">
        <f t="shared" si="4"/>
        <v>30.5555555555556</v>
      </c>
      <c r="BR5" s="21">
        <f t="shared" si="4"/>
        <v>30.5555555555556</v>
      </c>
      <c r="BS5" s="21">
        <f t="shared" si="4"/>
        <v>30.5555555555556</v>
      </c>
      <c r="BT5" s="21">
        <f t="shared" si="4"/>
        <v>30.5555555555556</v>
      </c>
      <c r="BU5" s="21">
        <f t="shared" si="4"/>
        <v>30.5555555555556</v>
      </c>
      <c r="BV5" s="21">
        <f t="shared" si="4"/>
        <v>30.5555555555556</v>
      </c>
      <c r="BW5" s="21">
        <f t="shared" si="4"/>
        <v>30.5555555555556</v>
      </c>
      <c r="BX5" s="21">
        <f t="shared" si="4"/>
        <v>30.5555555555556</v>
      </c>
      <c r="BY5" s="21">
        <f t="shared" si="4"/>
        <v>30.5555555555556</v>
      </c>
      <c r="BZ5" s="21">
        <f t="shared" si="4"/>
        <v>30.5555555555556</v>
      </c>
      <c r="CA5" s="21">
        <f t="shared" si="4"/>
        <v>30.5555555555556</v>
      </c>
      <c r="CB5" s="21">
        <f t="shared" si="4"/>
        <v>30.5555555555556</v>
      </c>
      <c r="CC5" s="21">
        <f t="shared" si="4"/>
        <v>30.5555555555556</v>
      </c>
      <c r="CD5" s="21">
        <f t="shared" si="4"/>
        <v>30.5555555555556</v>
      </c>
      <c r="CE5" s="21">
        <f t="shared" si="4"/>
        <v>30.5555555555556</v>
      </c>
      <c r="CF5" s="21">
        <f t="shared" si="4"/>
        <v>30.5555555555556</v>
      </c>
      <c r="CG5" s="21">
        <f t="shared" si="4"/>
        <v>30.5555555555556</v>
      </c>
      <c r="CH5" s="21">
        <f t="shared" si="4"/>
        <v>30.5555555555556</v>
      </c>
      <c r="CI5" s="21">
        <f t="shared" si="4"/>
        <v>30.5555555555556</v>
      </c>
      <c r="CJ5" s="21">
        <f t="shared" si="4"/>
        <v>30.5555555555556</v>
      </c>
      <c r="CK5" s="21">
        <f t="shared" si="4"/>
        <v>30.5555555555556</v>
      </c>
      <c r="CL5" s="21">
        <f t="shared" si="4"/>
        <v>30.5555555555556</v>
      </c>
      <c r="CM5" s="21">
        <f t="shared" si="4"/>
        <v>30.5555555555556</v>
      </c>
      <c r="CN5" s="21">
        <f t="shared" si="4"/>
        <v>30.5555555555556</v>
      </c>
      <c r="CO5" s="21">
        <f t="shared" si="4"/>
        <v>30.5555555555556</v>
      </c>
      <c r="CP5" s="21">
        <f t="shared" si="4"/>
        <v>30.5555555555556</v>
      </c>
      <c r="CQ5" s="21">
        <f t="shared" si="4"/>
        <v>30.5555555555556</v>
      </c>
      <c r="CR5" s="21">
        <f t="shared" si="4"/>
        <v>30.5555555555556</v>
      </c>
      <c r="CS5" s="21">
        <f t="shared" si="4"/>
        <v>30.5555555555556</v>
      </c>
      <c r="CT5" s="21">
        <f t="shared" si="4"/>
        <v>30.5555555555556</v>
      </c>
      <c r="CU5" s="21">
        <f t="shared" si="4"/>
        <v>30.5555555555556</v>
      </c>
      <c r="CV5" s="21">
        <f t="shared" si="4"/>
        <v>30.5555555555556</v>
      </c>
      <c r="CW5" s="21">
        <f t="shared" si="4"/>
        <v>30.5555555555556</v>
      </c>
      <c r="CX5" s="21">
        <f t="shared" si="4"/>
        <v>30.5555555555556</v>
      </c>
      <c r="CY5" s="21">
        <f t="shared" si="4"/>
        <v>30.5555555555556</v>
      </c>
      <c r="CZ5" s="21">
        <f t="shared" si="4"/>
        <v>30.5555555555556</v>
      </c>
      <c r="DA5" s="21">
        <f t="shared" si="4"/>
        <v>30.5555555555556</v>
      </c>
      <c r="DB5" s="21">
        <f t="shared" si="4"/>
        <v>30.5555555555556</v>
      </c>
      <c r="DC5" s="21">
        <f t="shared" si="4"/>
        <v>30.5555555555556</v>
      </c>
      <c r="DD5" s="21">
        <f t="shared" si="4"/>
        <v>30.5555555555556</v>
      </c>
      <c r="DE5" s="21">
        <f t="shared" si="4"/>
        <v>30.5555555555556</v>
      </c>
      <c r="DF5" s="21">
        <f t="shared" ref="DF5:EE5" si="5">$L5*110%/180</f>
        <v>30.5555555555556</v>
      </c>
      <c r="DG5" s="21">
        <f t="shared" si="5"/>
        <v>30.5555555555556</v>
      </c>
      <c r="DH5" s="21">
        <f t="shared" si="5"/>
        <v>30.5555555555556</v>
      </c>
      <c r="DI5" s="21">
        <f t="shared" si="5"/>
        <v>30.5555555555556</v>
      </c>
      <c r="DJ5" s="21">
        <f t="shared" si="5"/>
        <v>30.5555555555556</v>
      </c>
      <c r="DK5" s="21">
        <f t="shared" si="5"/>
        <v>30.5555555555556</v>
      </c>
      <c r="DL5" s="21">
        <f t="shared" si="5"/>
        <v>30.5555555555556</v>
      </c>
      <c r="DM5" s="21">
        <f t="shared" si="5"/>
        <v>30.5555555555556</v>
      </c>
      <c r="DN5" s="21">
        <f t="shared" si="5"/>
        <v>30.5555555555556</v>
      </c>
      <c r="DO5" s="21">
        <f t="shared" si="5"/>
        <v>30.5555555555556</v>
      </c>
      <c r="DP5" s="21">
        <f t="shared" si="5"/>
        <v>30.5555555555556</v>
      </c>
      <c r="DQ5" s="21">
        <f t="shared" si="5"/>
        <v>30.5555555555556</v>
      </c>
      <c r="DR5" s="21">
        <f t="shared" si="5"/>
        <v>30.5555555555556</v>
      </c>
      <c r="DS5" s="21">
        <f t="shared" si="5"/>
        <v>30.5555555555556</v>
      </c>
      <c r="DT5" s="21">
        <f t="shared" si="5"/>
        <v>30.5555555555556</v>
      </c>
      <c r="DU5" s="21">
        <f t="shared" si="5"/>
        <v>30.5555555555556</v>
      </c>
      <c r="DV5" s="21">
        <f t="shared" si="5"/>
        <v>30.5555555555556</v>
      </c>
      <c r="DW5" s="21">
        <f t="shared" si="5"/>
        <v>30.5555555555556</v>
      </c>
      <c r="DX5" s="21">
        <f t="shared" si="5"/>
        <v>30.5555555555556</v>
      </c>
      <c r="DY5" s="21">
        <f t="shared" si="5"/>
        <v>30.5555555555556</v>
      </c>
      <c r="DZ5" s="21">
        <f t="shared" si="5"/>
        <v>30.5555555555556</v>
      </c>
      <c r="EA5" s="21">
        <f t="shared" si="5"/>
        <v>30.5555555555556</v>
      </c>
      <c r="EB5" s="21">
        <f t="shared" si="5"/>
        <v>30.5555555555556</v>
      </c>
      <c r="EC5" s="21">
        <f t="shared" si="5"/>
        <v>30.5555555555556</v>
      </c>
      <c r="ED5" s="21">
        <f t="shared" si="5"/>
        <v>30.5555555555556</v>
      </c>
      <c r="EE5" s="21">
        <f t="shared" si="5"/>
        <v>30.5555555555556</v>
      </c>
      <c r="EF5" s="21">
        <f t="shared" ref="EF5:GM5" si="6">$L5*100%/180</f>
        <v>27.7777777777778</v>
      </c>
      <c r="EG5" s="21">
        <f t="shared" si="6"/>
        <v>27.7777777777778</v>
      </c>
      <c r="EH5" s="21">
        <f t="shared" si="6"/>
        <v>27.7777777777778</v>
      </c>
      <c r="EI5" s="21">
        <f t="shared" si="6"/>
        <v>27.7777777777778</v>
      </c>
      <c r="EJ5" s="21">
        <f t="shared" si="6"/>
        <v>27.7777777777778</v>
      </c>
      <c r="EK5" s="21">
        <f t="shared" si="6"/>
        <v>27.7777777777778</v>
      </c>
      <c r="EL5" s="21">
        <f t="shared" si="6"/>
        <v>27.7777777777778</v>
      </c>
      <c r="EM5" s="21">
        <f t="shared" si="6"/>
        <v>27.7777777777778</v>
      </c>
      <c r="EN5" s="21">
        <f t="shared" si="6"/>
        <v>27.7777777777778</v>
      </c>
      <c r="EO5" s="21">
        <f t="shared" si="6"/>
        <v>27.7777777777778</v>
      </c>
      <c r="EP5" s="21">
        <f t="shared" si="6"/>
        <v>27.7777777777778</v>
      </c>
      <c r="EQ5" s="21">
        <f t="shared" si="6"/>
        <v>27.7777777777778</v>
      </c>
      <c r="ER5" s="21">
        <f t="shared" si="6"/>
        <v>27.7777777777778</v>
      </c>
      <c r="ES5" s="21">
        <f t="shared" si="6"/>
        <v>27.7777777777778</v>
      </c>
      <c r="ET5" s="21">
        <f t="shared" si="6"/>
        <v>27.7777777777778</v>
      </c>
      <c r="EU5" s="21">
        <f t="shared" si="6"/>
        <v>27.7777777777778</v>
      </c>
      <c r="EV5" s="21">
        <f t="shared" si="6"/>
        <v>27.7777777777778</v>
      </c>
      <c r="EW5" s="21">
        <f t="shared" si="6"/>
        <v>27.7777777777778</v>
      </c>
      <c r="EX5" s="21">
        <f t="shared" si="6"/>
        <v>27.7777777777778</v>
      </c>
      <c r="EY5" s="21">
        <f t="shared" si="6"/>
        <v>27.7777777777778</v>
      </c>
      <c r="EZ5" s="21">
        <f t="shared" si="6"/>
        <v>27.7777777777778</v>
      </c>
      <c r="FA5" s="21">
        <f t="shared" si="6"/>
        <v>27.7777777777778</v>
      </c>
      <c r="FB5" s="21">
        <f t="shared" si="6"/>
        <v>27.7777777777778</v>
      </c>
      <c r="FC5" s="21">
        <f t="shared" si="6"/>
        <v>27.7777777777778</v>
      </c>
      <c r="FD5" s="21">
        <f t="shared" si="6"/>
        <v>27.7777777777778</v>
      </c>
      <c r="FE5" s="21">
        <f t="shared" si="6"/>
        <v>27.7777777777778</v>
      </c>
      <c r="FF5" s="21">
        <f t="shared" si="6"/>
        <v>27.7777777777778</v>
      </c>
      <c r="FG5" s="21">
        <f t="shared" si="6"/>
        <v>27.7777777777778</v>
      </c>
      <c r="FH5" s="21">
        <f t="shared" si="6"/>
        <v>27.7777777777778</v>
      </c>
      <c r="FI5" s="21">
        <f t="shared" si="6"/>
        <v>27.7777777777778</v>
      </c>
      <c r="FJ5" s="21">
        <f t="shared" si="6"/>
        <v>27.7777777777778</v>
      </c>
      <c r="FK5" s="21">
        <f t="shared" si="6"/>
        <v>27.7777777777778</v>
      </c>
      <c r="FL5" s="21">
        <f t="shared" si="6"/>
        <v>27.7777777777778</v>
      </c>
      <c r="FM5" s="21">
        <f t="shared" si="6"/>
        <v>27.7777777777778</v>
      </c>
      <c r="FN5" s="21">
        <f t="shared" si="6"/>
        <v>27.7777777777778</v>
      </c>
      <c r="FO5" s="21">
        <f t="shared" si="6"/>
        <v>27.7777777777778</v>
      </c>
      <c r="FP5" s="21">
        <f t="shared" si="6"/>
        <v>27.7777777777778</v>
      </c>
      <c r="FQ5" s="21">
        <f t="shared" si="6"/>
        <v>27.7777777777778</v>
      </c>
      <c r="FR5" s="21">
        <f t="shared" si="6"/>
        <v>27.7777777777778</v>
      </c>
      <c r="FS5" s="21">
        <f t="shared" si="6"/>
        <v>27.7777777777778</v>
      </c>
      <c r="FT5" s="21">
        <f t="shared" si="6"/>
        <v>27.7777777777778</v>
      </c>
      <c r="FU5" s="21">
        <f t="shared" si="6"/>
        <v>27.7777777777778</v>
      </c>
      <c r="FV5" s="21">
        <f t="shared" si="6"/>
        <v>27.7777777777778</v>
      </c>
      <c r="FW5" s="21">
        <f t="shared" si="6"/>
        <v>27.7777777777778</v>
      </c>
      <c r="FX5" s="21">
        <f t="shared" si="6"/>
        <v>27.7777777777778</v>
      </c>
      <c r="FY5" s="21">
        <f t="shared" si="6"/>
        <v>27.7777777777778</v>
      </c>
      <c r="FZ5" s="21">
        <f t="shared" si="6"/>
        <v>27.7777777777778</v>
      </c>
      <c r="GA5" s="21">
        <f t="shared" si="6"/>
        <v>27.7777777777778</v>
      </c>
      <c r="GB5" s="21">
        <f t="shared" si="6"/>
        <v>27.7777777777778</v>
      </c>
      <c r="GC5" s="21">
        <f t="shared" si="6"/>
        <v>27.7777777777778</v>
      </c>
      <c r="GD5" s="21">
        <f t="shared" si="6"/>
        <v>27.7777777777778</v>
      </c>
      <c r="GE5" s="21">
        <f t="shared" si="6"/>
        <v>27.7777777777778</v>
      </c>
      <c r="GF5" s="21">
        <f t="shared" si="6"/>
        <v>27.7777777777778</v>
      </c>
      <c r="GG5" s="21">
        <f t="shared" si="6"/>
        <v>27.7777777777778</v>
      </c>
      <c r="GH5" s="21">
        <f t="shared" si="6"/>
        <v>27.7777777777778</v>
      </c>
      <c r="GI5" s="21">
        <f t="shared" si="6"/>
        <v>27.7777777777778</v>
      </c>
      <c r="GJ5" s="21">
        <f t="shared" si="6"/>
        <v>27.7777777777778</v>
      </c>
      <c r="GK5" s="21">
        <f t="shared" si="6"/>
        <v>27.7777777777778</v>
      </c>
      <c r="GL5" s="21">
        <f t="shared" si="6"/>
        <v>27.7777777777778</v>
      </c>
      <c r="GM5" s="21">
        <f t="shared" si="6"/>
        <v>27.7777777777778</v>
      </c>
    </row>
    <row r="6" spans="1:195" x14ac:dyDescent="0.25">
      <c r="A6" s="8" t="s">
        <v>17</v>
      </c>
      <c r="B6" s="19">
        <v>46062</v>
      </c>
      <c r="C6" s="8">
        <f t="shared" ca="1" si="0"/>
        <v>137</v>
      </c>
      <c r="D6" s="8" t="str" cm="1">
        <f t="array" ref="D6" ca="1">_xlfn.IFS(AND(TODAY()-B6&lt;=30,TODAY()-B6&gt;=0),"新品期",AND(TODAY()-B6&gt;=31,TODAY()-B6&lt;=120),"热销期",AND(TODAY()-B6&gt;=121,TODAY()-B6&lt;=180),"清货期",TODAY()-B6&gt;180,"滞销")</f>
        <v>清货期</v>
      </c>
      <c r="E6" s="8">
        <f t="shared" si="1"/>
        <v>3569</v>
      </c>
      <c r="F6" s="8"/>
      <c r="G6" s="8">
        <f>SUMIF([1]销售表!I:I,A6,[1]销售表!J:J)</f>
        <v>1431</v>
      </c>
      <c r="H6" s="9">
        <f t="shared" si="2"/>
        <v>0.28620000000000001</v>
      </c>
      <c r="I6" s="8"/>
      <c r="J6" s="8">
        <f>SUMIFS([1]销售表!J:J,[1]销售表!I:I,A6,[1]销售表!E:E,"可取")</f>
        <v>41</v>
      </c>
      <c r="K6" s="8"/>
      <c r="L6" s="8">
        <v>5000</v>
      </c>
      <c r="M6" s="10">
        <f>_xlfn.XLOOKUP(A6,[1]销售表!I:I,[1]销售表!J:J,0,0,-1)</f>
        <v>8</v>
      </c>
      <c r="N6" s="10" t="e" cm="1">
        <f t="array" ref="N6" ca="1">IF(C6&gt;180,"0",INDEX(P6:GM6,C6))</f>
        <v>#REF!</v>
      </c>
      <c r="O6" s="20" t="s">
        <v>24</v>
      </c>
      <c r="P6" s="21" t="e">
        <f>SUMIFS(#REF!,#REF!,$A6,#REF!,$P$4)</f>
        <v>#REF!</v>
      </c>
      <c r="Q6" s="21" t="e">
        <f ca="1">IF($C6&gt;Q$4,SUMIFS(#REF!,#REF!,$A6,#REF!,Q$4),($L6-SUM($P6))*80%/(180-P$4))</f>
        <v>#REF!</v>
      </c>
      <c r="R6" s="21" t="e">
        <f ca="1">IF($C6&gt;R$4,SUMIFS(#REF!,#REF!,$A6,#REF!,R$4),($L6-SUM($P6:Q6))*80%/(180-Q$4))</f>
        <v>#REF!</v>
      </c>
      <c r="S6" s="21" t="e">
        <f ca="1">IF($C6&gt;S$4,SUMIFS(#REF!,#REF!,$A6,#REF!,S$4),($L6-SUM($P6:R6))*80%/(180-R$4))</f>
        <v>#REF!</v>
      </c>
      <c r="T6" s="21" t="e">
        <f ca="1">IF($C6&gt;T$4,SUMIFS(#REF!,#REF!,$A6,#REF!,T$4),($L6-SUM($P6:S6))*80%/(180-S$4))</f>
        <v>#REF!</v>
      </c>
      <c r="U6" s="21" t="e">
        <f ca="1">IF($C6&gt;U$4,SUMIFS(#REF!,#REF!,$A6,#REF!,U$4),($L6-SUM($P6:T6))*80%/(180-T$4))</f>
        <v>#REF!</v>
      </c>
      <c r="V6" s="21" t="e">
        <f ca="1">IF($C6&gt;V$4,SUMIFS(#REF!,#REF!,$A6,#REF!,V$4),($L6-SUM($P6:U6))*80%/(180-U$4))</f>
        <v>#REF!</v>
      </c>
      <c r="W6" s="21" t="e">
        <f ca="1">IF($C6&gt;W$4,SUMIFS(#REF!,#REF!,$A6,#REF!,W$4),($L6-SUM($P6:V6))*80%/(180-V$4))</f>
        <v>#REF!</v>
      </c>
      <c r="X6" s="21" t="e">
        <f ca="1">IF($C6&gt;X$4,SUMIFS(#REF!,#REF!,$A6,#REF!,X$4),($L6-SUM($P6:W6))*80%/(180-W$4))</f>
        <v>#REF!</v>
      </c>
      <c r="Y6" s="21" t="e">
        <f ca="1">IF($C6&gt;Y$4,SUMIFS(#REF!,#REF!,$A6,#REF!,Y$4),($L6-SUM($P6:X6))*80%/(180-X$4))</f>
        <v>#REF!</v>
      </c>
      <c r="Z6" s="21" t="e">
        <f ca="1">IF($C6&gt;Z$4,SUMIFS(#REF!,#REF!,$A6,#REF!,Z$4),($L6-SUM($P6:Y6))*80%/(180-Y$4))</f>
        <v>#REF!</v>
      </c>
      <c r="AA6" s="21" t="e">
        <f ca="1">IF($C6&gt;AA$4,SUMIFS(#REF!,#REF!,$A6,#REF!,AA$4),($L6-SUM($P6:Z6))*80%/(180-Z$4))</f>
        <v>#REF!</v>
      </c>
      <c r="AB6" s="21" t="e">
        <f ca="1">IF($C6&gt;AB$4,SUMIFS(#REF!,#REF!,$A6,#REF!,AB$4),($L6-SUM($P6:AA6))*80%/(180-AA$4))</f>
        <v>#REF!</v>
      </c>
      <c r="AC6" s="21" t="e">
        <f ca="1">IF($C6&gt;AC$4,SUMIFS(#REF!,#REF!,$A6,#REF!,AC$4),($L6-SUM($P6:AB6))*80%/(180-AB$4))</f>
        <v>#REF!</v>
      </c>
      <c r="AD6" s="21" t="e">
        <f ca="1">IF($C6&gt;AD$4,SUMIFS(#REF!,#REF!,$A6,#REF!,AD$4),($L6-SUM($P6:AC6))*80%/(180-AC$4))</f>
        <v>#REF!</v>
      </c>
      <c r="AE6" s="21" t="e">
        <f ca="1">IF($C6&gt;AE$4,SUMIFS(#REF!,#REF!,$A6,#REF!,AE$4),($L6-SUM($P6:AD6))*80%/(180-AD$4))</f>
        <v>#REF!</v>
      </c>
      <c r="AF6" s="21" t="e">
        <f ca="1">IF($C6&gt;AF$4,SUMIFS(#REF!,#REF!,$A6,#REF!,AF$4),($L6-SUM($P6:AE6))*80%/(180-AE$4))</f>
        <v>#REF!</v>
      </c>
      <c r="AG6" s="21" t="e">
        <f ca="1">IF($C6&gt;AG$4,SUMIFS(#REF!,#REF!,$A6,#REF!,AG$4),($L6-SUM($P6:AF6))*80%/(180-AF$4))</f>
        <v>#REF!</v>
      </c>
      <c r="AH6" s="21" t="e">
        <f ca="1">IF($C6&gt;AH$4,SUMIFS(#REF!,#REF!,$A6,#REF!,AH$4),($L6-SUM($P6:AG6))*80%/(180-AG$4))</f>
        <v>#REF!</v>
      </c>
      <c r="AI6" s="21" t="e">
        <f ca="1">IF($C6&gt;AI$4,SUMIFS(#REF!,#REF!,$A6,#REF!,AI$4),($L6-SUM($P6:AH6))*80%/(180-AH$4))</f>
        <v>#REF!</v>
      </c>
      <c r="AJ6" s="21" t="e">
        <f ca="1">IF($C6&gt;AJ$4,SUMIFS(#REF!,#REF!,$A6,#REF!,AJ$4),($L6-SUM($P6:AI6))*80%/(180-AI$4))</f>
        <v>#REF!</v>
      </c>
      <c r="AK6" s="21" t="e">
        <f ca="1">IF($C6&gt;AK$4,SUMIFS(#REF!,#REF!,$A6,#REF!,AK$4),($L6-SUM($P6:AJ6))*80%/(180-AJ$4))</f>
        <v>#REF!</v>
      </c>
      <c r="AL6" s="21" t="e">
        <f ca="1">IF($C6&gt;AL$4,SUMIFS(#REF!,#REF!,$A6,#REF!,AL$4),($L6-SUM($P6:AK6))*80%/(180-AK$4))</f>
        <v>#REF!</v>
      </c>
      <c r="AM6" s="21" t="e">
        <f ca="1">IF($C6&gt;AM$4,SUMIFS(#REF!,#REF!,$A6,#REF!,AM$4),($L6-SUM($P6:AL6))*80%/(180-AL$4))</f>
        <v>#REF!</v>
      </c>
      <c r="AN6" s="21" t="e">
        <f ca="1">IF($C6&gt;AN$4,SUMIFS(#REF!,#REF!,$A6,#REF!,AN$4),($L6-SUM($P6:AM6))*80%/(180-AM$4))</f>
        <v>#REF!</v>
      </c>
      <c r="AO6" s="21" t="e">
        <f ca="1">IF($C6&gt;AO$4,SUMIFS(#REF!,#REF!,$A6,#REF!,AO$4),($L6-SUM($P6:AN6))*80%/(180-AN$4))</f>
        <v>#REF!</v>
      </c>
      <c r="AP6" s="21" t="e">
        <f ca="1">IF($C6&gt;AP$4,SUMIFS(#REF!,#REF!,$A6,#REF!,AP$4),($L6-SUM($P6:AO6))*80%/(180-AO$4))</f>
        <v>#REF!</v>
      </c>
      <c r="AQ6" s="21" t="e">
        <f ca="1">IF($C6&gt;AQ$4,SUMIFS(#REF!,#REF!,$A6,#REF!,AQ$4),($L6-SUM($P6:AP6))*80%/(180-AP$4))</f>
        <v>#REF!</v>
      </c>
      <c r="AR6" s="21" t="e">
        <f ca="1">IF($C6&gt;AR$4,SUMIFS(#REF!,#REF!,$A6,#REF!,AR$4),($L6-SUM($P6:AQ6))*80%/(180-AQ$4))</f>
        <v>#REF!</v>
      </c>
      <c r="AS6" s="21" t="e">
        <f ca="1">IF($C6&gt;AS$4,SUMIFS(#REF!,#REF!,$A6,#REF!,AS$4),($L6-SUM($P6:AR6))*80%/(180-AR$4))</f>
        <v>#REF!</v>
      </c>
      <c r="AT6" s="21" t="e">
        <f ca="1">IF($C6&gt;AT$4,SUMIFS(#REF!,#REF!,$A6,#REF!,AT$4),($L6-SUM($P6:AS6))*110%/(180-AS$4))</f>
        <v>#REF!</v>
      </c>
      <c r="AU6" s="21" t="e">
        <f ca="1">IF($C6&gt;AU$4,SUMIFS(#REF!,#REF!,$A6,#REF!,AU$4),($L6-SUM($P6:AT6))*110%/(180-AT$4))</f>
        <v>#REF!</v>
      </c>
      <c r="AV6" s="21" t="e">
        <f ca="1">IF($C6&gt;AV$4,SUMIFS(#REF!,#REF!,$A6,#REF!,AV$4),($L6-SUM($P6:AU6))*110%/(180-AU$4))</f>
        <v>#REF!</v>
      </c>
      <c r="AW6" s="21" t="e">
        <f ca="1">IF($C6&gt;AW$4,SUMIFS(#REF!,#REF!,$A6,#REF!,AW$4),($L6-SUM($P6:AV6))*110%/(180-AV$4))</f>
        <v>#REF!</v>
      </c>
      <c r="AX6" s="21" t="e">
        <f ca="1">IF($C6&gt;AX$4,SUMIFS(#REF!,#REF!,$A6,#REF!,AX$4),($L6-SUM($P6:AW6))*110%/(180-AW$4))</f>
        <v>#REF!</v>
      </c>
      <c r="AY6" s="21" t="e">
        <f ca="1">IF($C6&gt;AY$4,SUMIFS(#REF!,#REF!,$A6,#REF!,AY$4),($L6-SUM($P6:AX6))*110%/(180-AX$4))</f>
        <v>#REF!</v>
      </c>
      <c r="AZ6" s="21" t="e">
        <f ca="1">IF($C6&gt;AZ$4,SUMIFS(#REF!,#REF!,$A6,#REF!,AZ$4),($L6-SUM($P6:AY6))*110%/(180-AY$4))</f>
        <v>#REF!</v>
      </c>
      <c r="BA6" s="21" t="e">
        <f ca="1">IF($C6&gt;BA$4,SUMIFS(#REF!,#REF!,$A6,#REF!,BA$4),($L6-SUM($P6:AZ6))*110%/(180-AZ$4))</f>
        <v>#REF!</v>
      </c>
      <c r="BB6" s="21" t="e">
        <f ca="1">IF($C6&gt;BB$4,SUMIFS(#REF!,#REF!,$A6,#REF!,BB$4),($L6-SUM($P6:BA6))*110%/(180-BA$4))</f>
        <v>#REF!</v>
      </c>
      <c r="BC6" s="21" t="e">
        <f ca="1">IF($C6&gt;BC$4,SUMIFS(#REF!,#REF!,$A6,#REF!,BC$4),($L6-SUM($P6:BB6))*110%/(180-BB$4))</f>
        <v>#REF!</v>
      </c>
      <c r="BD6" s="21" t="e">
        <f ca="1">IF($C6&gt;BD$4,SUMIFS(#REF!,#REF!,$A6,#REF!,BD$4),($L6-SUM($P6:BC6))*110%/(180-BC$4))</f>
        <v>#REF!</v>
      </c>
      <c r="BE6" s="21" t="e">
        <f ca="1">IF($C6&gt;BE$4,SUMIFS(#REF!,#REF!,$A6,#REF!,BE$4),($L6-SUM($P6:BD6))*110%/(180-BD$4))</f>
        <v>#REF!</v>
      </c>
      <c r="BF6" s="21" t="e">
        <f ca="1">IF($C6&gt;BF$4,SUMIFS(#REF!,#REF!,$A6,#REF!,BF$4),($L6-SUM($P6:BE6))*110%/(180-BE$4))</f>
        <v>#REF!</v>
      </c>
      <c r="BG6" s="21" t="e">
        <f ca="1">IF($C6&gt;BG$4,SUMIFS(#REF!,#REF!,$A6,#REF!,BG$4),($L6-SUM($P6:BF6))*110%/(180-BF$4))</f>
        <v>#REF!</v>
      </c>
      <c r="BH6" s="21" t="e">
        <f ca="1">IF($C6&gt;BH$4,SUMIFS(#REF!,#REF!,$A6,#REF!,BH$4),($L6-SUM($P6:BG6))*110%/(180-BG$4))</f>
        <v>#REF!</v>
      </c>
      <c r="BI6" s="21" t="e">
        <f ca="1">IF($C6&gt;BI$4,SUMIFS(#REF!,#REF!,$A6,#REF!,BI$4),($L6-SUM($P6:BH6))*110%/(180-BH$4))</f>
        <v>#REF!</v>
      </c>
      <c r="BJ6" s="21" t="e">
        <f ca="1">IF($C6&gt;BJ$4,SUMIFS(#REF!,#REF!,$A6,#REF!,BJ$4),($L6-SUM($P6:BI6))*110%/(180-BI$4))</f>
        <v>#REF!</v>
      </c>
      <c r="BK6" s="21" t="e">
        <f ca="1">IF($C6&gt;BK$4,SUMIFS(#REF!,#REF!,$A6,#REF!,BK$4),($L6-SUM($P6:BJ6))*110%/(180-BJ$4))</f>
        <v>#REF!</v>
      </c>
      <c r="BL6" s="21" t="e">
        <f ca="1">IF($C6&gt;BL$4,SUMIFS(#REF!,#REF!,$A6,#REF!,BL$4),($L6-SUM($P6:BK6))*110%/(180-BK$4))</f>
        <v>#REF!</v>
      </c>
      <c r="BM6" s="21" t="e">
        <f ca="1">IF($C6&gt;BM$4,SUMIFS(#REF!,#REF!,$A6,#REF!,BM$4),($L6-SUM($P6:BL6))*110%/(180-BL$4))</f>
        <v>#REF!</v>
      </c>
      <c r="BN6" s="21" t="e">
        <f ca="1">IF($C6&gt;BN$4,SUMIFS(#REF!,#REF!,$A6,#REF!,BN$4),($L6-SUM($P6:BM6))*110%/(180-BM$4))</f>
        <v>#REF!</v>
      </c>
      <c r="BO6" s="21" t="e">
        <f ca="1">IF($C6&gt;BO$4,SUMIFS(#REF!,#REF!,$A6,#REF!,BO$4),($L6-SUM($P6:BN6))*110%/(180-BN$4))</f>
        <v>#REF!</v>
      </c>
      <c r="BP6" s="21" t="e">
        <f ca="1">IF($C6&gt;BP$4,SUMIFS(#REF!,#REF!,$A6,#REF!,BP$4),($L6-SUM($P6:BO6))*110%/(180-BO$4))</f>
        <v>#REF!</v>
      </c>
      <c r="BQ6" s="21" t="e">
        <f ca="1">IF($C6&gt;BQ$4,SUMIFS(#REF!,#REF!,$A6,#REF!,BQ$4),($L6-SUM($P6:BP6))*110%/(180-BP$4))</f>
        <v>#REF!</v>
      </c>
      <c r="BR6" s="21" t="e">
        <f ca="1">IF($C6&gt;BR$4,SUMIFS(#REF!,#REF!,$A6,#REF!,BR$4),($L6-SUM($P6:BQ6))*110%/(180-BQ$4))</f>
        <v>#REF!</v>
      </c>
      <c r="BS6" s="21" t="e">
        <f ca="1">IF($C6&gt;BS$4,SUMIFS(#REF!,#REF!,$A6,#REF!,BS$4),($L6-SUM($P6:BR6))*110%/(180-BR$4))</f>
        <v>#REF!</v>
      </c>
      <c r="BT6" s="21" t="e">
        <f ca="1">IF($C6&gt;BT$4,SUMIFS(#REF!,#REF!,$A6,#REF!,BT$4),($L6-SUM($P6:BS6))*110%/(180-BS$4))</f>
        <v>#REF!</v>
      </c>
      <c r="BU6" s="21" t="e">
        <f ca="1">IF($C6&gt;BU$4,SUMIFS(#REF!,#REF!,$A6,#REF!,BU$4),($L6-SUM($P6:BT6))*110%/(180-BT$4))</f>
        <v>#REF!</v>
      </c>
      <c r="BV6" s="21" t="e">
        <f ca="1">IF($C6&gt;BV$4,SUMIFS(#REF!,#REF!,$A6,#REF!,BV$4),($L6-SUM($P6:BU6))*110%/(180-BU$4))</f>
        <v>#REF!</v>
      </c>
      <c r="BW6" s="21" t="e">
        <f ca="1">IF($C6&gt;BW$4,SUMIFS(#REF!,#REF!,$A6,#REF!,BW$4),($L6-SUM($P6:BV6))*110%/(180-BV$4))</f>
        <v>#REF!</v>
      </c>
      <c r="BX6" s="21" t="e">
        <f ca="1">IF($C6&gt;BX$4,SUMIFS(#REF!,#REF!,$A6,#REF!,BX$4),($L6-SUM($P6:BW6))*110%/(180-BW$4))</f>
        <v>#REF!</v>
      </c>
      <c r="BY6" s="21" t="e">
        <f ca="1">IF($C6&gt;BY$4,SUMIFS(#REF!,#REF!,$A6,#REF!,BY$4),($L6-SUM($P6:BX6))*110%/(180-BX$4))</f>
        <v>#REF!</v>
      </c>
      <c r="BZ6" s="21" t="e">
        <f ca="1">IF($C6&gt;BZ$4,SUMIFS(#REF!,#REF!,$A6,#REF!,BZ$4),($L6-SUM($P6:BY6))*110%/(180-BY$4))</f>
        <v>#REF!</v>
      </c>
      <c r="CA6" s="21" t="e">
        <f ca="1">IF($C6&gt;CA$4,SUMIFS(#REF!,#REF!,$A6,#REF!,CA$4),($L6-SUM($P6:BZ6))*110%/(180-BZ$4))</f>
        <v>#REF!</v>
      </c>
      <c r="CB6" s="21" t="e">
        <f ca="1">IF($C6&gt;CB$4,SUMIFS(#REF!,#REF!,$A6,#REF!,CB$4),($L6-SUM($P6:CA6))*110%/(180-CA$4))</f>
        <v>#REF!</v>
      </c>
      <c r="CC6" s="21" t="e">
        <f ca="1">IF($C6&gt;CC$4,SUMIFS(#REF!,#REF!,$A6,#REF!,CC$4),($L6-SUM($P6:CB6))*110%/(180-CB$4))</f>
        <v>#REF!</v>
      </c>
      <c r="CD6" s="21" t="e">
        <f ca="1">IF($C6&gt;CD$4,SUMIFS(#REF!,#REF!,$A6,#REF!,CD$4),($L6-SUM($P6:CC6))*110%/(180-CC$4))</f>
        <v>#REF!</v>
      </c>
      <c r="CE6" s="21" t="e">
        <f ca="1">IF($C6&gt;CE$4,SUMIFS(#REF!,#REF!,$A6,#REF!,CE$4),($L6-SUM($P6:CD6))*110%/(180-CD$4))</f>
        <v>#REF!</v>
      </c>
      <c r="CF6" s="21" t="e">
        <f ca="1">IF($C6&gt;CF$4,SUMIFS(#REF!,#REF!,$A6,#REF!,CF$4),($L6-SUM($P6:CE6))*110%/(180-CE$4))</f>
        <v>#REF!</v>
      </c>
      <c r="CG6" s="21" t="e">
        <f ca="1">IF($C6&gt;CG$4,SUMIFS(#REF!,#REF!,$A6,#REF!,CG$4),($L6-SUM($P6:CF6))*110%/(180-CF$4))</f>
        <v>#REF!</v>
      </c>
      <c r="CH6" s="21" t="e">
        <f ca="1">IF($C6&gt;CH$4,SUMIFS(#REF!,#REF!,$A6,#REF!,CH$4),($L6-SUM($P6:CG6))*110%/(180-CG$4))</f>
        <v>#REF!</v>
      </c>
      <c r="CI6" s="21" t="e">
        <f ca="1">IF($C6&gt;CI$4,SUMIFS(#REF!,#REF!,$A6,#REF!,CI$4),($L6-SUM($P6:CH6))*110%/(180-CH$4))</f>
        <v>#REF!</v>
      </c>
      <c r="CJ6" s="21" t="e">
        <f ca="1">IF($C6&gt;CJ$4,SUMIFS(#REF!,#REF!,$A6,#REF!,CJ$4),($L6-SUM($P6:CI6))*110%/(180-CI$4))</f>
        <v>#REF!</v>
      </c>
      <c r="CK6" s="21" t="e">
        <f ca="1">IF($C6&gt;CK$4,SUMIFS(#REF!,#REF!,$A6,#REF!,CK$4),($L6-SUM($P6:CJ6))*110%/(180-CJ$4))</f>
        <v>#REF!</v>
      </c>
      <c r="CL6" s="21" t="e">
        <f ca="1">IF($C6&gt;CL$4,SUMIFS(#REF!,#REF!,$A6,#REF!,CL$4),($L6-SUM($P6:CK6))*110%/(180-CK$4))</f>
        <v>#REF!</v>
      </c>
      <c r="CM6" s="21" t="e">
        <f ca="1">IF($C6&gt;CM$4,SUMIFS(#REF!,#REF!,$A6,#REF!,CM$4),($L6-SUM($P6:CL6))*110%/(180-CL$4))</f>
        <v>#REF!</v>
      </c>
      <c r="CN6" s="21" t="e">
        <f ca="1">IF($C6&gt;CN$4,SUMIFS(#REF!,#REF!,$A6,#REF!,CN$4),($L6-SUM($P6:CM6))*110%/(180-CM$4))</f>
        <v>#REF!</v>
      </c>
      <c r="CO6" s="21" t="e">
        <f ca="1">IF($C6&gt;CO$4,SUMIFS(#REF!,#REF!,$A6,#REF!,CO$4),($L6-SUM($P6:CN6))*110%/(180-CN$4))</f>
        <v>#REF!</v>
      </c>
      <c r="CP6" s="21" t="e">
        <f ca="1">IF($C6&gt;CP$4,SUMIFS(#REF!,#REF!,$A6,#REF!,CP$4),($L6-SUM($P6:CO6))*110%/(180-CO$4))</f>
        <v>#REF!</v>
      </c>
      <c r="CQ6" s="21" t="e">
        <f ca="1">IF($C6&gt;CQ$4,SUMIFS(#REF!,#REF!,$A6,#REF!,CQ$4),($L6-SUM($P6:CP6))*110%/(180-CP$4))</f>
        <v>#REF!</v>
      </c>
      <c r="CR6" s="21" t="e">
        <f ca="1">IF($C6&gt;CR$4,SUMIFS(#REF!,#REF!,$A6,#REF!,CR$4),($L6-SUM($P6:CQ6))*110%/(180-CQ$4))</f>
        <v>#REF!</v>
      </c>
      <c r="CS6" s="21" t="e">
        <f ca="1">IF($C6&gt;CS$4,SUMIFS(#REF!,#REF!,$A6,#REF!,CS$4),($L6-SUM($P6:CR6))*110%/(180-CR$4))</f>
        <v>#REF!</v>
      </c>
      <c r="CT6" s="21" t="e">
        <f ca="1">IF($C6&gt;CT$4,SUMIFS(#REF!,#REF!,$A6,#REF!,CT$4),($L6-SUM($P6:CS6))*110%/(180-CS$4))</f>
        <v>#REF!</v>
      </c>
      <c r="CU6" s="21" t="e">
        <f ca="1">IF($C6&gt;CU$4,SUMIFS(#REF!,#REF!,$A6,#REF!,CU$4),($L6-SUM($P6:CT6))*110%/(180-CT$4))</f>
        <v>#REF!</v>
      </c>
      <c r="CV6" s="21" t="e">
        <f ca="1">IF($C6&gt;CV$4,SUMIFS(#REF!,#REF!,$A6,#REF!,CV$4),($L6-SUM($P6:CU6))*110%/(180-CU$4))</f>
        <v>#REF!</v>
      </c>
      <c r="CW6" s="21" t="e">
        <f ca="1">IF($C6&gt;CW$4,SUMIFS(#REF!,#REF!,$A6,#REF!,CW$4),($L6-SUM($P6:CV6))*110%/(180-CV$4))</f>
        <v>#REF!</v>
      </c>
      <c r="CX6" s="21" t="e">
        <f ca="1">IF($C6&gt;CX$4,SUMIFS(#REF!,#REF!,$A6,#REF!,CX$4),($L6-SUM($P6:CW6))*110%/(180-CW$4))</f>
        <v>#REF!</v>
      </c>
      <c r="CY6" s="21" t="e">
        <f ca="1">IF($C6&gt;CY$4,SUMIFS(#REF!,#REF!,$A6,#REF!,CY$4),($L6-SUM($P6:CX6))*110%/(180-CX$4))</f>
        <v>#REF!</v>
      </c>
      <c r="CZ6" s="21" t="e">
        <f ca="1">IF($C6&gt;CZ$4,SUMIFS(#REF!,#REF!,$A6,#REF!,CZ$4),($L6-SUM($P6:CY6))*110%/(180-CY$4))</f>
        <v>#REF!</v>
      </c>
      <c r="DA6" s="21" t="e">
        <f ca="1">IF($C6&gt;DA$4,SUMIFS(#REF!,#REF!,$A6,#REF!,DA$4),($L6-SUM($P6:CZ6))*110%/(180-CZ$4))</f>
        <v>#REF!</v>
      </c>
      <c r="DB6" s="21" t="e">
        <f ca="1">IF($C6&gt;DB$4,SUMIFS(#REF!,#REF!,$A6,#REF!,DB$4),($L6-SUM($P6:DA6))*110%/(180-DA$4))</f>
        <v>#REF!</v>
      </c>
      <c r="DC6" s="21" t="e">
        <f ca="1">IF($C6&gt;DC$4,SUMIFS(#REF!,#REF!,$A6,#REF!,DC$4),($L6-SUM($P6:DB6))*110%/(180-DB$4))</f>
        <v>#REF!</v>
      </c>
      <c r="DD6" s="21" t="e">
        <f ca="1">IF($C6&gt;DD$4,SUMIFS(#REF!,#REF!,$A6,#REF!,DD$4),($L6-SUM($P6:DC6))*110%/(180-DC$4))</f>
        <v>#REF!</v>
      </c>
      <c r="DE6" s="21" t="e">
        <f ca="1">IF($C6&gt;DE$4,SUMIFS(#REF!,#REF!,$A6,#REF!,DE$4),($L6-SUM($P6:DD6))*110%/(180-DD$4))</f>
        <v>#REF!</v>
      </c>
      <c r="DF6" s="21" t="e">
        <f ca="1">IF($C6&gt;DF$4,SUMIFS(#REF!,#REF!,$A6,#REF!,DF$4),($L6-SUM($P6:DE6))*110%/(180-DE$4))</f>
        <v>#REF!</v>
      </c>
      <c r="DG6" s="21" t="e">
        <f ca="1">IF($C6&gt;DG$4,SUMIFS(#REF!,#REF!,$A6,#REF!,DG$4),($L6-SUM($P6:DF6))*110%/(180-DF$4))</f>
        <v>#REF!</v>
      </c>
      <c r="DH6" s="21" t="e">
        <f ca="1">IF($C6&gt;DH$4,SUMIFS(#REF!,#REF!,$A6,#REF!,DH$4),($L6-SUM($P6:DG6))*110%/(180-DG$4))</f>
        <v>#REF!</v>
      </c>
      <c r="DI6" s="21" t="e">
        <f ca="1">IF($C6&gt;DI$4,SUMIFS(#REF!,#REF!,$A6,#REF!,DI$4),($L6-SUM($P6:DH6))*110%/(180-DH$4))</f>
        <v>#REF!</v>
      </c>
      <c r="DJ6" s="21" t="e">
        <f ca="1">IF($C6&gt;DJ$4,SUMIFS(#REF!,#REF!,$A6,#REF!,DJ$4),($L6-SUM($P6:DI6))*110%/(180-DI$4))</f>
        <v>#REF!</v>
      </c>
      <c r="DK6" s="21" t="e">
        <f ca="1">IF($C6&gt;DK$4,SUMIFS(#REF!,#REF!,$A6,#REF!,DK$4),($L6-SUM($P6:DJ6))*110%/(180-DJ$4))</f>
        <v>#REF!</v>
      </c>
      <c r="DL6" s="21" t="e">
        <f ca="1">IF($C6&gt;DL$4,SUMIFS(#REF!,#REF!,$A6,#REF!,DL$4),($L6-SUM($P6:DK6))*110%/(180-DK$4))</f>
        <v>#REF!</v>
      </c>
      <c r="DM6" s="21" t="e">
        <f ca="1">IF($C6&gt;DM$4,SUMIFS(#REF!,#REF!,$A6,#REF!,DM$4),($L6-SUM($P6:DL6))*110%/(180-DL$4))</f>
        <v>#REF!</v>
      </c>
      <c r="DN6" s="21" t="e">
        <f ca="1">IF($C6&gt;DN$4,SUMIFS(#REF!,#REF!,$A6,#REF!,DN$4),($L6-SUM($P6:DM6))*110%/(180-DM$4))</f>
        <v>#REF!</v>
      </c>
      <c r="DO6" s="21" t="e">
        <f ca="1">IF($C6&gt;DO$4,SUMIFS(#REF!,#REF!,$A6,#REF!,DO$4),($L6-SUM($P6:DN6))*110%/(180-DN$4))</f>
        <v>#REF!</v>
      </c>
      <c r="DP6" s="21" t="e">
        <f ca="1">IF($C6&gt;DP$4,SUMIFS(#REF!,#REF!,$A6,#REF!,DP$4),($L6-SUM($P6:DO6))*110%/(180-DO$4))</f>
        <v>#REF!</v>
      </c>
      <c r="DQ6" s="21" t="e">
        <f ca="1">IF($C6&gt;DQ$4,SUMIFS(#REF!,#REF!,$A6,#REF!,DQ$4),($L6-SUM($P6:DP6))*110%/(180-DP$4))</f>
        <v>#REF!</v>
      </c>
      <c r="DR6" s="21" t="e">
        <f ca="1">IF($C6&gt;DR$4,SUMIFS(#REF!,#REF!,$A6,#REF!,DR$4),($L6-SUM($P6:DQ6))*110%/(180-DQ$4))</f>
        <v>#REF!</v>
      </c>
      <c r="DS6" s="21" t="e">
        <f ca="1">IF($C6&gt;DS$4,SUMIFS(#REF!,#REF!,$A6,#REF!,DS$4),($L6-SUM($P6:DR6))*110%/(180-DR$4))</f>
        <v>#REF!</v>
      </c>
      <c r="DT6" s="21" t="e">
        <f ca="1">IF($C6&gt;DT$4,SUMIFS(#REF!,#REF!,$A6,#REF!,DT$4),($L6-SUM($P6:DS6))*110%/(180-DS$4))</f>
        <v>#REF!</v>
      </c>
      <c r="DU6" s="21" t="e">
        <f ca="1">IF($C6&gt;DU$4,SUMIFS(#REF!,#REF!,$A6,#REF!,DU$4),($L6-SUM($P6:DT6))*110%/(180-DT$4))</f>
        <v>#REF!</v>
      </c>
      <c r="DV6" s="21" t="e">
        <f ca="1">IF($C6&gt;DV$4,SUMIFS(#REF!,#REF!,$A6,#REF!,DV$4),($L6-SUM($P6:DU6))*110%/(180-DU$4))</f>
        <v>#REF!</v>
      </c>
      <c r="DW6" s="21" t="e">
        <f ca="1">IF($C6&gt;DW$4,SUMIFS(#REF!,#REF!,$A6,#REF!,DW$4),($L6-SUM($P6:DV6))*110%/(180-DV$4))</f>
        <v>#REF!</v>
      </c>
      <c r="DX6" s="21" t="e">
        <f ca="1">IF($C6&gt;DX$4,SUMIFS(#REF!,#REF!,$A6,#REF!,DX$4),($L6-SUM($P6:DW6))*110%/(180-DW$4))</f>
        <v>#REF!</v>
      </c>
      <c r="DY6" s="21" t="e">
        <f ca="1">IF($C6&gt;DY$4,SUMIFS(#REF!,#REF!,$A6,#REF!,DY$4),($L6-SUM($P6:DX6))*110%/(180-DX$4))</f>
        <v>#REF!</v>
      </c>
      <c r="DZ6" s="21" t="e">
        <f ca="1">IF($C6&gt;DZ$4,SUMIFS(#REF!,#REF!,$A6,#REF!,DZ$4),($L6-SUM($P6:DY6))*110%/(180-DY$4))</f>
        <v>#REF!</v>
      </c>
      <c r="EA6" s="21" t="e">
        <f ca="1">IF($C6&gt;EA$4,SUMIFS(#REF!,#REF!,$A6,#REF!,EA$4),($L6-SUM($P6:DZ6))*110%/(180-DZ$4))</f>
        <v>#REF!</v>
      </c>
      <c r="EB6" s="21" t="e">
        <f ca="1">IF($C6&gt;EB$4,SUMIFS(#REF!,#REF!,$A6,#REF!,EB$4),($L6-SUM($P6:EA6))*110%/(180-EA$4))</f>
        <v>#REF!</v>
      </c>
      <c r="EC6" s="21" t="e">
        <f ca="1">IF($C6&gt;EC$4,SUMIFS(#REF!,#REF!,$A6,#REF!,EC$4),($L6-SUM($P6:EB6))*110%/(180-EB$4))</f>
        <v>#REF!</v>
      </c>
      <c r="ED6" s="21" t="e">
        <f ca="1">IF($C6&gt;ED$4,SUMIFS(#REF!,#REF!,$A6,#REF!,ED$4),($L6-SUM($P6:EC6))*110%/(180-EC$4))</f>
        <v>#REF!</v>
      </c>
      <c r="EE6" s="21" t="e">
        <f ca="1">IF($C6&gt;EE$4,SUMIFS(#REF!,#REF!,$A6,#REF!,EE$4),($L6-SUM($P6:ED6))*110%/(180-ED$4))</f>
        <v>#REF!</v>
      </c>
      <c r="EF6" s="21" t="e">
        <f ca="1">IF($C6&gt;EF$4,SUMIFS(#REF!,#REF!,$A6,#REF!,EF$4),($L6-SUM($P6:EE6))*100%/(180-EE$4))</f>
        <v>#REF!</v>
      </c>
      <c r="EG6" s="21" t="e">
        <f ca="1">IF($C6&gt;EG$4,SUMIFS(#REF!,#REF!,$A6,#REF!,EG$4),($L6-SUM($P6:EF6))*100%/(180-EF$4))</f>
        <v>#REF!</v>
      </c>
      <c r="EH6" s="21" t="e">
        <f ca="1">IF($C6&gt;EH$4,SUMIFS(#REF!,#REF!,$A6,#REF!,EH$4),($L6-SUM($P6:EG6))*100%/(180-EG$4))</f>
        <v>#REF!</v>
      </c>
      <c r="EI6" s="21" t="e">
        <f ca="1">IF($C6&gt;EI$4,SUMIFS(#REF!,#REF!,$A6,#REF!,EI$4),($L6-SUM($P6:EH6))*100%/(180-EH$4))</f>
        <v>#REF!</v>
      </c>
      <c r="EJ6" s="21" t="e">
        <f ca="1">IF($C6&gt;EJ$4,SUMIFS(#REF!,#REF!,$A6,#REF!,EJ$4),($L6-SUM($P6:EI6))*100%/(180-EI$4))</f>
        <v>#REF!</v>
      </c>
      <c r="EK6" s="21" t="e">
        <f ca="1">IF($C6&gt;EK$4,SUMIFS(#REF!,#REF!,$A6,#REF!,EK$4),($L6-SUM($P6:EJ6))*100%/(180-EJ$4))</f>
        <v>#REF!</v>
      </c>
      <c r="EL6" s="21" t="e">
        <f ca="1">IF($C6&gt;EL$4,SUMIFS(#REF!,#REF!,$A6,#REF!,EL$4),($L6-SUM($P6:EK6))*100%/(180-EK$4))</f>
        <v>#REF!</v>
      </c>
      <c r="EM6" s="21" t="e">
        <f ca="1">IF($C6&gt;EM$4,SUMIFS(#REF!,#REF!,$A6,#REF!,EM$4),($L6-SUM($P6:EL6))*100%/(180-EL$4))</f>
        <v>#REF!</v>
      </c>
      <c r="EN6" s="21" t="e">
        <f ca="1">IF($C6&gt;EN$4,SUMIFS(#REF!,#REF!,$A6,#REF!,EN$4),($L6-SUM($P6:EM6))*100%/(180-EM$4))</f>
        <v>#REF!</v>
      </c>
      <c r="EO6" s="21" t="e">
        <f ca="1">IF($C6&gt;EO$4,SUMIFS(#REF!,#REF!,$A6,#REF!,EO$4),($L6-SUM($P6:EN6))*100%/(180-EN$4))</f>
        <v>#REF!</v>
      </c>
      <c r="EP6" s="21" t="e">
        <f ca="1">IF($C6&gt;EP$4,SUMIFS(#REF!,#REF!,$A6,#REF!,EP$4),($L6-SUM($P6:EO6))*100%/(180-EO$4))</f>
        <v>#REF!</v>
      </c>
      <c r="EQ6" s="21" t="e">
        <f ca="1">IF($C6&gt;EQ$4,SUMIFS(#REF!,#REF!,$A6,#REF!,EQ$4),($L6-SUM($P6:EP6))*100%/(180-EP$4))</f>
        <v>#REF!</v>
      </c>
      <c r="ER6" s="21" t="e">
        <f ca="1">IF($C6&gt;ER$4,SUMIFS(#REF!,#REF!,$A6,#REF!,ER$4),($L6-SUM($P6:EQ6))*100%/(180-EQ$4))</f>
        <v>#REF!</v>
      </c>
      <c r="ES6" s="25" t="e">
        <f ca="1">IF($C6&gt;ES$4,SUMIFS(#REF!,#REF!,$A6,#REF!,ES$4),($L6-SUM($P6:ER6))*100%/(180-ER$4))</f>
        <v>#REF!</v>
      </c>
      <c r="ET6" s="25" t="e">
        <f ca="1">IF($C6&gt;ET$4,SUMIFS(#REF!,#REF!,$A6,#REF!,ET$4),($L6-SUM($P6:ES6))*100%/(180-ES$4))</f>
        <v>#REF!</v>
      </c>
      <c r="EU6" s="25" t="e">
        <f ca="1">IF($C6&gt;EU$4,SUMIFS(#REF!,#REF!,$A6,#REF!,EU$4),($L6-SUM($P6:ET6))*100%/(180-ET$4))</f>
        <v>#REF!</v>
      </c>
      <c r="EV6" s="25" t="e">
        <f ca="1">IF($C6&gt;EV$4,SUMIFS(#REF!,#REF!,$A6,#REF!,EV$4),($L6-SUM($P6:EU6))*100%/(180-EU$4))</f>
        <v>#REF!</v>
      </c>
      <c r="EW6" s="25" t="e">
        <f ca="1">IF($C6&gt;EW$4,SUMIFS(#REF!,#REF!,$A6,#REF!,EW$4),($L6-SUM($P6:EV6))*100%/(180-EV$4))</f>
        <v>#REF!</v>
      </c>
      <c r="EX6" s="25" t="e">
        <f ca="1">IF($C6&gt;EX$4,SUMIFS(#REF!,#REF!,$A6,#REF!,EX$4),($L6-SUM($P6:EW6))*100%/(180-EW$4))</f>
        <v>#REF!</v>
      </c>
      <c r="EY6" s="25" t="e">
        <f ca="1">IF($C6&gt;EY$4,SUMIFS(#REF!,#REF!,$A6,#REF!,EY$4),($L6-SUM($P6:EX6))*100%/(180-EX$4))</f>
        <v>#REF!</v>
      </c>
      <c r="EZ6" s="25" t="e">
        <f ca="1">IF($C6&gt;EZ$4,SUMIFS(#REF!,#REF!,$A6,#REF!,EZ$4),($L6-SUM($P6:EY6))*100%/(180-EY$4))</f>
        <v>#REF!</v>
      </c>
      <c r="FA6" s="25" t="e">
        <f ca="1">IF($C6&gt;FA$4,SUMIFS(#REF!,#REF!,$A6,#REF!,FA$4),($L6-SUM($P6:EZ6))*100%/(180-EZ$4))</f>
        <v>#REF!</v>
      </c>
      <c r="FB6" s="25" t="e">
        <f ca="1">IF($C6&gt;FB$4,SUMIFS(#REF!,#REF!,$A6,#REF!,FB$4),($L6-SUM($P6:FA6))*100%/(180-FA$4))</f>
        <v>#REF!</v>
      </c>
      <c r="FC6" s="25" t="e">
        <f ca="1">IF($C6&gt;FC$4,SUMIFS(#REF!,#REF!,$A6,#REF!,FC$4),($L6-SUM($P6:FB6))*100%/(180-FB$4))</f>
        <v>#REF!</v>
      </c>
      <c r="FD6" s="25" t="e">
        <f ca="1">IF($C6&gt;FD$4,SUMIFS(#REF!,#REF!,$A6,#REF!,FD$4),($L6-SUM($P6:FC6))*100%/(180-FC$4))</f>
        <v>#REF!</v>
      </c>
      <c r="FE6" s="25" t="e">
        <f ca="1">IF($C6&gt;FE$4,SUMIFS(#REF!,#REF!,$A6,#REF!,FE$4),($L6-SUM($P6:FD6))*100%/(180-FD$4))</f>
        <v>#REF!</v>
      </c>
      <c r="FF6" s="25" t="e">
        <f ca="1">IF($C6&gt;FF$4,SUMIFS(#REF!,#REF!,$A6,#REF!,FF$4),($L6-SUM($P6:FE6))*100%/(180-FE$4))</f>
        <v>#REF!</v>
      </c>
      <c r="FG6" s="25" t="e">
        <f ca="1">IF($C6&gt;FG$4,SUMIFS(#REF!,#REF!,$A6,#REF!,FG$4),($L6-SUM($P6:FF6))*100%/(180-FF$4))</f>
        <v>#REF!</v>
      </c>
      <c r="FH6" s="25" t="e">
        <f ca="1">IF($C6&gt;FH$4,SUMIFS(#REF!,#REF!,$A6,#REF!,FH$4),($L6-SUM($P6:FG6))*100%/(180-FG$4))</f>
        <v>#REF!</v>
      </c>
      <c r="FI6" s="25" t="e">
        <f ca="1">IF($C6&gt;FI$4,SUMIFS(#REF!,#REF!,$A6,#REF!,FI$4),($L6-SUM($P6:FH6))*100%/(180-FH$4))</f>
        <v>#REF!</v>
      </c>
      <c r="FJ6" s="25" t="e">
        <f ca="1">IF($C6&gt;FJ$4,SUMIFS(#REF!,#REF!,$A6,#REF!,FJ$4),($L6-SUM($P6:FI6))*100%/(180-FI$4))</f>
        <v>#REF!</v>
      </c>
      <c r="FK6" s="25" t="e">
        <f ca="1">IF($C6&gt;FK$4,SUMIFS(#REF!,#REF!,$A6,#REF!,FK$4),($L6-SUM($P6:FJ6))*100%/(180-FJ$4))</f>
        <v>#REF!</v>
      </c>
      <c r="FL6" s="25" t="e">
        <f ca="1">IF($C6&gt;FL$4,SUMIFS(#REF!,#REF!,$A6,#REF!,FL$4),($L6-SUM($P6:FK6))*100%/(180-FK$4))</f>
        <v>#REF!</v>
      </c>
      <c r="FM6" s="25" t="e">
        <f ca="1">IF($C6&gt;FM$4,SUMIFS(#REF!,#REF!,$A6,#REF!,FM$4),($L6-SUM($P6:FL6))*100%/(180-FL$4))</f>
        <v>#REF!</v>
      </c>
      <c r="FN6" s="25" t="e">
        <f ca="1">IF($C6&gt;FN$4,SUMIFS(#REF!,#REF!,$A6,#REF!,FN$4),($L6-SUM($P6:FM6))*100%/(180-FM$4))</f>
        <v>#REF!</v>
      </c>
      <c r="FO6" s="25" t="e">
        <f ca="1">IF($C6&gt;FO$4,SUMIFS(#REF!,#REF!,$A6,#REF!,FO$4),($L6-SUM($P6:FN6))*100%/(180-FN$4))</f>
        <v>#REF!</v>
      </c>
      <c r="FP6" s="25" t="e">
        <f ca="1">IF($C6&gt;FP$4,SUMIFS(#REF!,#REF!,$A6,#REF!,FP$4),($L6-SUM($P6:FO6))*100%/(180-FO$4))</f>
        <v>#REF!</v>
      </c>
      <c r="FQ6" s="25" t="e">
        <f ca="1">IF($C6&gt;FQ$4,SUMIFS(#REF!,#REF!,$A6,#REF!,FQ$4),($L6-SUM($P6:FP6))*100%/(180-FP$4))</f>
        <v>#REF!</v>
      </c>
      <c r="FR6" s="25" t="e">
        <f ca="1">IF($C6&gt;FR$4,SUMIFS(#REF!,#REF!,$A6,#REF!,FR$4),($L6-SUM($P6:FQ6))*100%/(180-FQ$4))</f>
        <v>#REF!</v>
      </c>
      <c r="FS6" s="25" t="e">
        <f ca="1">IF($C6&gt;FS$4,SUMIFS(#REF!,#REF!,$A6,#REF!,FS$4),($L6-SUM($P6:FR6))*100%/(180-FR$4))</f>
        <v>#REF!</v>
      </c>
      <c r="FT6" s="25" t="e">
        <f ca="1">IF($C6&gt;FT$4,SUMIFS(#REF!,#REF!,$A6,#REF!,FT$4),($L6-SUM($P6:FS6))*100%/(180-FS$4))</f>
        <v>#REF!</v>
      </c>
      <c r="FU6" s="25" t="e">
        <f ca="1">IF($C6&gt;FU$4,SUMIFS(#REF!,#REF!,$A6,#REF!,FU$4),($L6-SUM($P6:FT6))*100%/(180-FT$4))</f>
        <v>#REF!</v>
      </c>
      <c r="FV6" s="25" t="e">
        <f ca="1">IF($C6&gt;FV$4,SUMIFS(#REF!,#REF!,$A6,#REF!,FV$4),($L6-SUM($P6:FU6))*100%/(180-FU$4))</f>
        <v>#REF!</v>
      </c>
      <c r="FW6" s="25" t="e">
        <f ca="1">IF($C6&gt;FW$4,SUMIFS(#REF!,#REF!,$A6,#REF!,FW$4),($L6-SUM($P6:FV6))*100%/(180-FV$4))</f>
        <v>#REF!</v>
      </c>
      <c r="FX6" s="25" t="e">
        <f ca="1">IF($C6&gt;FX$4,SUMIFS(#REF!,#REF!,$A6,#REF!,FX$4),($L6-SUM($P6:FW6))*100%/(180-FW$4))</f>
        <v>#REF!</v>
      </c>
      <c r="FY6" s="25" t="e">
        <f ca="1">IF($C6&gt;FY$4,SUMIFS(#REF!,#REF!,$A6,#REF!,FY$4),($L6-SUM($P6:FX6))*100%/(180-FX$4))</f>
        <v>#REF!</v>
      </c>
      <c r="FZ6" s="25" t="e">
        <f ca="1">IF($C6&gt;FZ$4,SUMIFS(#REF!,#REF!,$A6,#REF!,FZ$4),($L6-SUM($P6:FY6))*100%/(180-FY$4))</f>
        <v>#REF!</v>
      </c>
      <c r="GA6" s="25" t="e">
        <f ca="1">IF($C6&gt;GA$4,SUMIFS(#REF!,#REF!,$A6,#REF!,GA$4),($L6-SUM($P6:FZ6))*100%/(180-FZ$4))</f>
        <v>#REF!</v>
      </c>
      <c r="GB6" s="25" t="e">
        <f ca="1">IF($C6&gt;GB$4,SUMIFS(#REF!,#REF!,$A6,#REF!,GB$4),($L6-SUM($P6:GA6))*100%/(180-GA$4))</f>
        <v>#REF!</v>
      </c>
      <c r="GC6" s="25" t="e">
        <f ca="1">IF($C6&gt;GC$4,SUMIFS(#REF!,#REF!,$A6,#REF!,GC$4),($L6-SUM($P6:GB6))*100%/(180-GB$4))</f>
        <v>#REF!</v>
      </c>
      <c r="GD6" s="25" t="e">
        <f ca="1">IF($C6&gt;GD$4,SUMIFS(#REF!,#REF!,$A6,#REF!,GD$4),($L6-SUM($P6:GC6))*100%/(180-GC$4))</f>
        <v>#REF!</v>
      </c>
      <c r="GE6" s="25" t="e">
        <f ca="1">IF($C6&gt;GE$4,SUMIFS(#REF!,#REF!,$A6,#REF!,GE$4),($L6-SUM($P6:GD6))*100%/(180-GD$4))</f>
        <v>#REF!</v>
      </c>
      <c r="GF6" s="25" t="e">
        <f ca="1">IF($C6&gt;GF$4,SUMIFS(#REF!,#REF!,$A6,#REF!,GF$4),($L6-SUM($P6:GE6))*100%/(180-GE$4))</f>
        <v>#REF!</v>
      </c>
      <c r="GG6" s="25" t="e">
        <f ca="1">IF($C6&gt;GG$4,SUMIFS(#REF!,#REF!,$A6,#REF!,GG$4),($L6-SUM($P6:GF6))*100%/(180-GF$4))</f>
        <v>#REF!</v>
      </c>
      <c r="GH6" s="25" t="e">
        <f ca="1">IF($C6&gt;GH$4,SUMIFS(#REF!,#REF!,$A6,#REF!,GH$4),($L6-SUM($P6:GG6))*100%/(180-GG$4))</f>
        <v>#REF!</v>
      </c>
      <c r="GI6" s="25" t="e">
        <f ca="1">IF($C6&gt;GI$4,SUMIFS(#REF!,#REF!,$A6,#REF!,GI$4),($L6-SUM($P6:GH6))*100%/(180-GH$4))</f>
        <v>#REF!</v>
      </c>
      <c r="GJ6" s="25" t="e">
        <f ca="1">IF($C6&gt;GJ$4,SUMIFS(#REF!,#REF!,$A6,#REF!,GJ$4),($L6-SUM($P6:GI6))*100%/(180-GI$4))</f>
        <v>#REF!</v>
      </c>
      <c r="GK6" s="25" t="e">
        <f ca="1">IF($C6&gt;GK$4,SUMIFS(#REF!,#REF!,$A6,#REF!,GK$4),($L6-SUM($P6:GJ6))*100%/(180-GJ$4))</f>
        <v>#REF!</v>
      </c>
      <c r="GL6" s="25" t="e">
        <f ca="1">IF($C6&gt;GL$4,SUMIFS(#REF!,#REF!,$A6,#REF!,GL$4),($L6-SUM($P6:GK6))*100%/(180-GK$4))</f>
        <v>#REF!</v>
      </c>
      <c r="GM6" s="25" t="e">
        <f ca="1">IF($C6&gt;GM$4,SUMIFS(#REF!,#REF!,$A6,#REF!,GM$4),($L6-SUM($P6:GL6))*100%/(180-GL$4))</f>
        <v>#REF!</v>
      </c>
    </row>
    <row r="7" spans="1:195" s="23" customFormat="1" ht="28" x14ac:dyDescent="0.25">
      <c r="A7" s="26" t="s">
        <v>17</v>
      </c>
      <c r="B7" s="27">
        <v>46062</v>
      </c>
      <c r="C7" s="26">
        <f t="shared" ca="1" si="0"/>
        <v>137</v>
      </c>
      <c r="D7" s="26" t="str" cm="1">
        <f t="array" ref="D7" ca="1">_xlfn.IFS(AND(TODAY()-B7&lt;=30,TODAY()-B7&gt;=0),"新品期",AND(TODAY()-B7&gt;=31,TODAY()-B7&lt;=120),"热销期",AND(TODAY()-B7&gt;=121,TODAY()-B7&lt;=180),"清货期",TODAY()-B7&gt;180,"滞销")</f>
        <v>清货期</v>
      </c>
      <c r="E7" s="26">
        <f t="shared" si="1"/>
        <v>3569</v>
      </c>
      <c r="F7" s="26"/>
      <c r="G7" s="26">
        <f>SUMIF([1]销售表!I:I,A7,[1]销售表!J:J)</f>
        <v>1431</v>
      </c>
      <c r="H7" s="28">
        <f t="shared" si="2"/>
        <v>0.28620000000000001</v>
      </c>
      <c r="I7" s="26"/>
      <c r="J7" s="26">
        <f>SUMIFS([1]销售表!J:J,[1]销售表!I:I,A7,[1]销售表!E:E,"可取")</f>
        <v>41</v>
      </c>
      <c r="K7" s="26"/>
      <c r="L7" s="26">
        <v>5000</v>
      </c>
      <c r="M7" s="29">
        <f>_xlfn.XLOOKUP(A7,[1]销售表!I:I,[1]销售表!J:J,0,0,-1)</f>
        <v>8</v>
      </c>
      <c r="N7" s="29" t="e" cm="1">
        <f t="array" ref="N7" ca="1">IF(C7&gt;180,"0",INDEX(P7:GM7,C7))</f>
        <v>#REF!</v>
      </c>
      <c r="O7" s="30" t="s">
        <v>25</v>
      </c>
      <c r="P7" s="31">
        <f t="shared" ref="P7:P11" si="7">$L7*80%/180</f>
        <v>22.2222222222222</v>
      </c>
      <c r="Q7" s="32" t="e" cm="1">
        <f t="array" aca="1" ref="Q7" ca="1">_xlfn.IFS(Q$4&lt;$C7,($L7-SUMIFS(#REF!,#REF!,$A7,#REF!,"&lt;="&amp;P$4))*80%/(180-P$4),Q$4&gt;=$C7,($L7-SUM(#REF!))*80%/(180-P$4))</f>
        <v>#REF!</v>
      </c>
      <c r="R7" s="32" t="e" cm="1">
        <f t="array" aca="1" ref="R7" ca="1">_xlfn.IFS(R$4&lt;$C7,($L7-SUMIFS(#REF!,#REF!,$A7,#REF!,"&lt;="&amp;Q$4))*80%/(180-Q$4),R$4&gt;=$C7,($L7-SUM(#REF!))*80%/(180-Q$4))</f>
        <v>#REF!</v>
      </c>
      <c r="S7" s="32" t="e" cm="1">
        <f t="array" aca="1" ref="S7" ca="1">_xlfn.IFS(S$4&lt;$C7,($L7-SUMIFS(#REF!,#REF!,$A7,#REF!,"&lt;="&amp;R$4))*80%/(180-R$4),S$4&gt;=$C7,($L7-SUM(#REF!))*80%/(180-R$4))</f>
        <v>#REF!</v>
      </c>
      <c r="T7" s="32" t="e" cm="1">
        <f t="array" aca="1" ref="T7" ca="1">_xlfn.IFS(T$4&lt;$C7,($L7-SUMIFS(#REF!,#REF!,$A7,#REF!,"&lt;="&amp;S$4))*80%/(180-S$4),T$4&gt;=$C7,($L7-SUM(#REF!))*80%/(180-S$4))</f>
        <v>#REF!</v>
      </c>
      <c r="U7" s="32" t="e" cm="1">
        <f t="array" aca="1" ref="U7" ca="1">_xlfn.IFS(U$4&lt;$C7,($L7-SUMIFS(#REF!,#REF!,$A7,#REF!,"&lt;="&amp;T$4))*80%/(180-T$4),U$4&gt;=$C7,($L7-SUM(#REF!))*80%/(180-T$4))</f>
        <v>#REF!</v>
      </c>
      <c r="V7" s="32" t="e" cm="1">
        <f t="array" aca="1" ref="V7" ca="1">_xlfn.IFS(V$4&lt;$C7,($L7-SUMIFS(#REF!,#REF!,$A7,#REF!,"&lt;="&amp;U$4))*80%/(180-U$4),V$4&gt;=$C7,($L7-SUM(#REF!))*80%/(180-U$4))</f>
        <v>#REF!</v>
      </c>
      <c r="W7" s="32" t="e" cm="1">
        <f t="array" aca="1" ref="W7" ca="1">_xlfn.IFS(W$4&lt;$C7,($L7-SUMIFS(#REF!,#REF!,$A7,#REF!,"&lt;="&amp;V$4))*80%/(180-V$4),W$4&gt;=$C7,($L7-SUM(#REF!))*80%/(180-V$4))</f>
        <v>#REF!</v>
      </c>
      <c r="X7" s="32" t="e" cm="1">
        <f t="array" aca="1" ref="X7" ca="1">_xlfn.IFS(X$4&lt;$C7,($L7-SUMIFS(#REF!,#REF!,$A7,#REF!,"&lt;="&amp;W$4))*80%/(180-W$4),X$4&gt;=$C7,($L7-SUM(#REF!))*80%/(180-W$4))</f>
        <v>#REF!</v>
      </c>
      <c r="Y7" s="32" t="e" cm="1">
        <f t="array" aca="1" ref="Y7" ca="1">_xlfn.IFS(Y$4&lt;$C7,($L7-SUMIFS(#REF!,#REF!,$A7,#REF!,"&lt;="&amp;X$4))*80%/(180-X$4),Y$4&gt;=$C7,($L7-SUM(#REF!))*80%/(180-X$4))</f>
        <v>#REF!</v>
      </c>
      <c r="Z7" s="32" t="e" cm="1">
        <f t="array" aca="1" ref="Z7" ca="1">_xlfn.IFS(Z$4&lt;$C7,($L7-SUMIFS(#REF!,#REF!,$A7,#REF!,"&lt;="&amp;Y$4))*80%/(180-Y$4),Z$4&gt;=$C7,($L7-SUM(#REF!))*80%/(180-Y$4))</f>
        <v>#REF!</v>
      </c>
      <c r="AA7" s="32" t="e" cm="1">
        <f t="array" aca="1" ref="AA7" ca="1">_xlfn.IFS(AA$4&lt;$C7,($L7-SUMIFS(#REF!,#REF!,$A7,#REF!,"&lt;="&amp;Z$4))*80%/(180-Z$4),AA$4&gt;=$C7,($L7-SUM(#REF!))*80%/(180-Z$4))</f>
        <v>#REF!</v>
      </c>
      <c r="AB7" s="32" t="e" cm="1">
        <f t="array" aca="1" ref="AB7" ca="1">_xlfn.IFS(AB$4&lt;$C7,($L7-SUMIFS(#REF!,#REF!,$A7,#REF!,"&lt;="&amp;AA$4))*80%/(180-AA$4),AB$4&gt;=$C7,($L7-SUM(#REF!))*80%/(180-AA$4))</f>
        <v>#REF!</v>
      </c>
      <c r="AC7" s="32" t="e" cm="1">
        <f t="array" aca="1" ref="AC7" ca="1">_xlfn.IFS(AC$4&lt;$C7,($L7-SUMIFS(#REF!,#REF!,$A7,#REF!,"&lt;="&amp;AB$4))*80%/(180-AB$4),AC$4&gt;=$C7,($L7-SUM(#REF!))*80%/(180-AB$4))</f>
        <v>#REF!</v>
      </c>
      <c r="AD7" s="32" t="e" cm="1">
        <f t="array" aca="1" ref="AD7" ca="1">_xlfn.IFS(AD$4&lt;$C7,($L7-SUMIFS(#REF!,#REF!,$A7,#REF!,"&lt;="&amp;AC$4))*80%/(180-AC$4),AD$4&gt;=$C7,($L7-SUM(#REF!))*80%/(180-AC$4))</f>
        <v>#REF!</v>
      </c>
      <c r="AE7" s="32" t="e" cm="1">
        <f t="array" aca="1" ref="AE7" ca="1">_xlfn.IFS(AE$4&lt;$C7,($L7-SUMIFS(#REF!,#REF!,$A7,#REF!,"&lt;="&amp;AD$4))*80%/(180-AD$4),AE$4&gt;=$C7,($L7-SUM(#REF!))*80%/(180-AD$4))</f>
        <v>#REF!</v>
      </c>
      <c r="AF7" s="32" t="e" cm="1">
        <f t="array" aca="1" ref="AF7" ca="1">_xlfn.IFS(AF$4&lt;$C7,($L7-SUMIFS(#REF!,#REF!,$A7,#REF!,"&lt;="&amp;AE$4))*80%/(180-AE$4),AF$4&gt;=$C7,($L7-SUM(#REF!))*80%/(180-AE$4))</f>
        <v>#REF!</v>
      </c>
      <c r="AG7" s="32" t="e" cm="1">
        <f t="array" aca="1" ref="AG7" ca="1">_xlfn.IFS(AG$4&lt;$C7,($L7-SUMIFS(#REF!,#REF!,$A7,#REF!,"&lt;="&amp;AF$4))*80%/(180-AF$4),AG$4&gt;=$C7,($L7-SUM(#REF!))*80%/(180-AF$4))</f>
        <v>#REF!</v>
      </c>
      <c r="AH7" s="32" t="e" cm="1">
        <f t="array" aca="1" ref="AH7" ca="1">_xlfn.IFS(AH$4&lt;$C7,($L7-SUMIFS(#REF!,#REF!,$A7,#REF!,"&lt;="&amp;AG$4))*80%/(180-AG$4),AH$4&gt;=$C7,($L7-SUM(#REF!))*80%/(180-AG$4))</f>
        <v>#REF!</v>
      </c>
      <c r="AI7" s="32" t="e" cm="1">
        <f t="array" aca="1" ref="AI7" ca="1">_xlfn.IFS(AI$4&lt;$C7,($L7-SUMIFS(#REF!,#REF!,$A7,#REF!,"&lt;="&amp;AH$4))*80%/(180-AH$4),AI$4&gt;=$C7,($L7-SUM(#REF!))*80%/(180-AH$4))</f>
        <v>#REF!</v>
      </c>
      <c r="AJ7" s="32" t="e" cm="1">
        <f t="array" aca="1" ref="AJ7" ca="1">_xlfn.IFS(AJ$4&lt;$C7,($L7-SUMIFS(#REF!,#REF!,$A7,#REF!,"&lt;="&amp;AI$4))*80%/(180-AI$4),AJ$4&gt;=$C7,($L7-SUM(#REF!))*80%/(180-AI$4))</f>
        <v>#REF!</v>
      </c>
      <c r="AK7" s="32" t="e" cm="1">
        <f t="array" aca="1" ref="AK7" ca="1">_xlfn.IFS(AK$4&lt;$C7,($L7-SUMIFS(#REF!,#REF!,$A7,#REF!,"&lt;="&amp;AJ$4))*80%/(180-AJ$4),AK$4&gt;=$C7,($L7-SUM(#REF!))*80%/(180-AJ$4))</f>
        <v>#REF!</v>
      </c>
      <c r="AL7" s="32" t="e" cm="1">
        <f t="array" aca="1" ref="AL7" ca="1">_xlfn.IFS(AL$4&lt;$C7,($L7-SUMIFS(#REF!,#REF!,$A7,#REF!,"&lt;="&amp;AK$4))*80%/(180-AK$4),AL$4&gt;=$C7,($L7-SUM(#REF!))*80%/(180-AK$4))</f>
        <v>#REF!</v>
      </c>
      <c r="AM7" s="32" t="e" cm="1">
        <f t="array" aca="1" ref="AM7" ca="1">_xlfn.IFS(AM$4&lt;$C7,($L7-SUMIFS(#REF!,#REF!,$A7,#REF!,"&lt;="&amp;AL$4))*80%/(180-AL$4),AM$4&gt;=$C7,($L7-SUM(#REF!))*80%/(180-AL$4))</f>
        <v>#REF!</v>
      </c>
      <c r="AN7" s="32" t="e" cm="1">
        <f t="array" aca="1" ref="AN7" ca="1">_xlfn.IFS(AN$4&lt;$C7,($L7-SUMIFS(#REF!,#REF!,$A7,#REF!,"&lt;="&amp;AM$4))*80%/(180-AM$4),AN$4&gt;=$C7,($L7-SUM(#REF!))*80%/(180-AM$4))</f>
        <v>#REF!</v>
      </c>
      <c r="AO7" s="32" t="e" cm="1">
        <f t="array" aca="1" ref="AO7" ca="1">_xlfn.IFS(AO$4&lt;$C7,($L7-SUMIFS(#REF!,#REF!,$A7,#REF!,"&lt;="&amp;AN$4))*80%/(180-AN$4),AO$4&gt;=$C7,($L7-SUM(#REF!))*80%/(180-AN$4))</f>
        <v>#REF!</v>
      </c>
      <c r="AP7" s="32" t="e" cm="1">
        <f t="array" aca="1" ref="AP7" ca="1">_xlfn.IFS(AP$4&lt;$C7,($L7-SUMIFS(#REF!,#REF!,$A7,#REF!,"&lt;="&amp;AO$4))*80%/(180-AO$4),AP$4&gt;=$C7,($L7-SUM(#REF!))*80%/(180-AO$4))</f>
        <v>#REF!</v>
      </c>
      <c r="AQ7" s="32" t="e" cm="1">
        <f t="array" aca="1" ref="AQ7" ca="1">_xlfn.IFS(AQ$4&lt;$C7,($L7-SUMIFS(#REF!,#REF!,$A7,#REF!,"&lt;="&amp;AP$4))*80%/(180-AP$4),AQ$4&gt;=$C7,($L7-SUM(#REF!))*80%/(180-AP$4))</f>
        <v>#REF!</v>
      </c>
      <c r="AR7" s="32" t="e" cm="1">
        <f t="array" aca="1" ref="AR7" ca="1">_xlfn.IFS(AR$4&lt;$C7,($L7-SUMIFS(#REF!,#REF!,$A7,#REF!,"&lt;="&amp;AQ$4))*80%/(180-AQ$4),AR$4&gt;=$C7,($L7-SUM(#REF!))*80%/(180-AQ$4))</f>
        <v>#REF!</v>
      </c>
      <c r="AS7" s="32" t="e" cm="1">
        <f t="array" aca="1" ref="AS7" ca="1">_xlfn.IFS(AS$4&lt;$C7,($L7-SUMIFS(#REF!,#REF!,$A7,#REF!,"&lt;="&amp;AR$4))*80%/(180-AR$4),AS$4&gt;=$C7,($L7-SUM(#REF!))*80%/(180-AR$4))</f>
        <v>#REF!</v>
      </c>
      <c r="AT7" s="32" t="e" cm="1">
        <f t="array" aca="1" ref="AT7" ca="1">_xlfn.IFS(AT$4&lt;$C7,($L7-SUMIFS(#REF!,#REF!,$A7,#REF!,"&lt;="&amp;AS$4))*110%/(180-AS$4),AT$4&gt;=$C7,($L7-SUM(#REF!))*110%/(180-AS$4))</f>
        <v>#REF!</v>
      </c>
      <c r="AU7" s="32" t="e" cm="1">
        <f t="array" aca="1" ref="AU7" ca="1">_xlfn.IFS(AU$4&lt;$C7,($L7-SUMIFS(#REF!,#REF!,$A7,#REF!,"&lt;="&amp;AT$4))*110%/(180-AT$4),AU$4&gt;=$C7,($L7-SUM(#REF!))*110%/(180-AT$4))</f>
        <v>#REF!</v>
      </c>
      <c r="AV7" s="32" t="e" cm="1">
        <f t="array" aca="1" ref="AV7" ca="1">_xlfn.IFS(AV$4&lt;$C7,($L7-SUMIFS(#REF!,#REF!,$A7,#REF!,"&lt;="&amp;AU$4))*110%/(180-AU$4),AV$4&gt;=$C7,($L7-SUM(#REF!))*110%/(180-AU$4))</f>
        <v>#REF!</v>
      </c>
      <c r="AW7" s="32" t="e" cm="1">
        <f t="array" aca="1" ref="AW7" ca="1">_xlfn.IFS(AW$4&lt;$C7,($L7-SUMIFS(#REF!,#REF!,$A7,#REF!,"&lt;="&amp;AV$4))*110%/(180-AV$4),AW$4&gt;=$C7,($L7-SUM(#REF!))*110%/(180-AV$4))</f>
        <v>#REF!</v>
      </c>
      <c r="AX7" s="32" t="e" cm="1">
        <f t="array" aca="1" ref="AX7" ca="1">_xlfn.IFS(AX$4&lt;$C7,($L7-SUMIFS(#REF!,#REF!,$A7,#REF!,"&lt;="&amp;AW$4))*110%/(180-AW$4),AX$4&gt;=$C7,($L7-SUM(#REF!))*110%/(180-AW$4))</f>
        <v>#REF!</v>
      </c>
      <c r="AY7" s="32" t="e" cm="1">
        <f t="array" aca="1" ref="AY7" ca="1">_xlfn.IFS(AY$4&lt;$C7,($L7-SUMIFS(#REF!,#REF!,$A7,#REF!,"&lt;="&amp;AX$4))*110%/(180-AX$4),AY$4&gt;=$C7,($L7-SUM(#REF!))*110%/(180-AX$4))</f>
        <v>#REF!</v>
      </c>
      <c r="AZ7" s="32" t="e" cm="1">
        <f t="array" aca="1" ref="AZ7" ca="1">_xlfn.IFS(AZ$4&lt;$C7,($L7-SUMIFS(#REF!,#REF!,$A7,#REF!,"&lt;="&amp;AY$4))*110%/(180-AY$4),AZ$4&gt;=$C7,($L7-SUM(#REF!))*110%/(180-AY$4))</f>
        <v>#REF!</v>
      </c>
      <c r="BA7" s="32" t="e" cm="1">
        <f t="array" aca="1" ref="BA7" ca="1">_xlfn.IFS(BA$4&lt;$C7,($L7-SUMIFS(#REF!,#REF!,$A7,#REF!,"&lt;="&amp;AZ$4))*110%/(180-AZ$4),BA$4&gt;=$C7,($L7-SUM(#REF!))*110%/(180-AZ$4))</f>
        <v>#REF!</v>
      </c>
      <c r="BB7" s="32" t="e" cm="1">
        <f t="array" aca="1" ref="BB7" ca="1">_xlfn.IFS(BB$4&lt;$C7,($L7-SUMIFS(#REF!,#REF!,$A7,#REF!,"&lt;="&amp;BA$4))*110%/(180-BA$4),BB$4&gt;=$C7,($L7-SUM(#REF!))*110%/(180-BA$4))</f>
        <v>#REF!</v>
      </c>
      <c r="BC7" s="32" t="e" cm="1">
        <f t="array" aca="1" ref="BC7" ca="1">_xlfn.IFS(BC$4&lt;$C7,($L7-SUMIFS(#REF!,#REF!,$A7,#REF!,"&lt;="&amp;BB$4))*110%/(180-BB$4),BC$4&gt;=$C7,($L7-SUM(#REF!))*110%/(180-BB$4))</f>
        <v>#REF!</v>
      </c>
      <c r="BD7" s="32" t="e" cm="1">
        <f t="array" aca="1" ref="BD7" ca="1">_xlfn.IFS(BD$4&lt;$C7,($L7-SUMIFS(#REF!,#REF!,$A7,#REF!,"&lt;="&amp;BC$4))*110%/(180-BC$4),BD$4&gt;=$C7,($L7-SUM(#REF!))*110%/(180-BC$4))</f>
        <v>#REF!</v>
      </c>
      <c r="BE7" s="32" t="e" cm="1">
        <f t="array" aca="1" ref="BE7" ca="1">_xlfn.IFS(BE$4&lt;$C7,($L7-SUMIFS(#REF!,#REF!,$A7,#REF!,"&lt;="&amp;BD$4))*110%/(180-BD$4),BE$4&gt;=$C7,($L7-SUM(#REF!))*110%/(180-BD$4))</f>
        <v>#REF!</v>
      </c>
      <c r="BF7" s="32" t="e" cm="1">
        <f t="array" aca="1" ref="BF7" ca="1">_xlfn.IFS(BF$4&lt;$C7,($L7-SUMIFS(#REF!,#REF!,$A7,#REF!,"&lt;="&amp;BE$4))*110%/(180-BE$4),BF$4&gt;=$C7,($L7-SUM(#REF!))*110%/(180-BE$4))</f>
        <v>#REF!</v>
      </c>
      <c r="BG7" s="32" t="e" cm="1">
        <f t="array" aca="1" ref="BG7" ca="1">_xlfn.IFS(BG$4&lt;$C7,($L7-SUMIFS(#REF!,#REF!,$A7,#REF!,"&lt;="&amp;BF$4))*110%/(180-BF$4),BG$4&gt;=$C7,($L7-SUM(#REF!))*110%/(180-BF$4))</f>
        <v>#REF!</v>
      </c>
      <c r="BH7" s="32" t="e" cm="1">
        <f t="array" aca="1" ref="BH7" ca="1">_xlfn.IFS(BH$4&lt;$C7,($L7-SUMIFS(#REF!,#REF!,$A7,#REF!,"&lt;="&amp;BG$4))*110%/(180-BG$4),BH$4&gt;=$C7,($L7-SUM(#REF!))*110%/(180-BG$4))</f>
        <v>#REF!</v>
      </c>
      <c r="BI7" s="32" t="e" cm="1">
        <f t="array" aca="1" ref="BI7" ca="1">_xlfn.IFS(BI$4&lt;$C7,($L7-SUMIFS(#REF!,#REF!,$A7,#REF!,"&lt;="&amp;BH$4))*110%/(180-BH$4),BI$4&gt;=$C7,($L7-SUM(#REF!))*110%/(180-BH$4))</f>
        <v>#REF!</v>
      </c>
      <c r="BJ7" s="32" t="e" cm="1">
        <f t="array" aca="1" ref="BJ7" ca="1">_xlfn.IFS(BJ$4&lt;$C7,($L7-SUMIFS(#REF!,#REF!,$A7,#REF!,"&lt;="&amp;BI$4))*110%/(180-BI$4),BJ$4&gt;=$C7,($L7-SUM(#REF!))*110%/(180-BI$4))</f>
        <v>#REF!</v>
      </c>
      <c r="BK7" s="32" t="e" cm="1">
        <f t="array" aca="1" ref="BK7" ca="1">_xlfn.IFS(BK$4&lt;$C7,($L7-SUMIFS(#REF!,#REF!,$A7,#REF!,"&lt;="&amp;BJ$4))*110%/(180-BJ$4),BK$4&gt;=$C7,($L7-SUM(#REF!))*110%/(180-BJ$4))</f>
        <v>#REF!</v>
      </c>
      <c r="BL7" s="32" t="e" cm="1">
        <f t="array" aca="1" ref="BL7" ca="1">_xlfn.IFS(BL$4&lt;$C7,($L7-SUMIFS(#REF!,#REF!,$A7,#REF!,"&lt;="&amp;BK$4))*110%/(180-BK$4),BL$4&gt;=$C7,($L7-SUM(#REF!))*110%/(180-BK$4))</f>
        <v>#REF!</v>
      </c>
      <c r="BM7" s="32" t="e" cm="1">
        <f t="array" aca="1" ref="BM7" ca="1">_xlfn.IFS(BM$4&lt;$C7,($L7-SUMIFS(#REF!,#REF!,$A7,#REF!,"&lt;="&amp;BL$4))*110%/(180-BL$4),BM$4&gt;=$C7,($L7-SUM(#REF!))*110%/(180-BL$4))</f>
        <v>#REF!</v>
      </c>
      <c r="BN7" s="32" t="e" cm="1">
        <f t="array" aca="1" ref="BN7" ca="1">_xlfn.IFS(BN$4&lt;$C7,($L7-SUMIFS(#REF!,#REF!,$A7,#REF!,"&lt;="&amp;BM$4))*110%/(180-BM$4),BN$4&gt;=$C7,($L7-SUM(#REF!))*110%/(180-BM$4))</f>
        <v>#REF!</v>
      </c>
      <c r="BO7" s="32" t="e" cm="1">
        <f t="array" aca="1" ref="BO7" ca="1">_xlfn.IFS(BO$4&lt;$C7,($L7-SUMIFS(#REF!,#REF!,$A7,#REF!,"&lt;="&amp;BN$4))*110%/(180-BN$4),BO$4&gt;=$C7,($L7-SUM(#REF!))*110%/(180-BN$4))</f>
        <v>#REF!</v>
      </c>
      <c r="BP7" s="32" t="e" cm="1">
        <f t="array" aca="1" ref="BP7" ca="1">_xlfn.IFS(BP$4&lt;$C7,($L7-SUMIFS(#REF!,#REF!,$A7,#REF!,"&lt;="&amp;BO$4))*110%/(180-BO$4),BP$4&gt;=$C7,($L7-SUM(#REF!))*110%/(180-BO$4))</f>
        <v>#REF!</v>
      </c>
      <c r="BQ7" s="32" t="e" cm="1">
        <f t="array" aca="1" ref="BQ7" ca="1">_xlfn.IFS(BQ$4&lt;$C7,($L7-SUMIFS(#REF!,#REF!,$A7,#REF!,"&lt;="&amp;BP$4))*110%/(180-BP$4),BQ$4&gt;=$C7,($L7-SUM(#REF!))*110%/(180-BP$4))</f>
        <v>#REF!</v>
      </c>
      <c r="BR7" s="32" t="e" cm="1">
        <f t="array" aca="1" ref="BR7" ca="1">_xlfn.IFS(BR$4&lt;$C7,($L7-SUMIFS(#REF!,#REF!,$A7,#REF!,"&lt;="&amp;BQ$4))*110%/(180-BQ$4),BR$4&gt;=$C7,($L7-SUM(#REF!))*110%/(180-BQ$4))</f>
        <v>#REF!</v>
      </c>
      <c r="BS7" s="32" t="e" cm="1">
        <f t="array" aca="1" ref="BS7" ca="1">_xlfn.IFS(BS$4&lt;$C7,($L7-SUMIFS(#REF!,#REF!,$A7,#REF!,"&lt;="&amp;BR$4))*110%/(180-BR$4),BS$4&gt;=$C7,($L7-SUM(#REF!))*110%/(180-BR$4))</f>
        <v>#REF!</v>
      </c>
      <c r="BT7" s="32" t="e" cm="1">
        <f t="array" aca="1" ref="BT7" ca="1">_xlfn.IFS(BT$4&lt;$C7,($L7-SUMIFS(#REF!,#REF!,$A7,#REF!,"&lt;="&amp;BS$4))*110%/(180-BS$4),BT$4&gt;=$C7,($L7-SUM(#REF!))*110%/(180-BS$4))</f>
        <v>#REF!</v>
      </c>
      <c r="BU7" s="32" t="e" cm="1">
        <f t="array" aca="1" ref="BU7" ca="1">_xlfn.IFS(BU$4&lt;$C7,($L7-SUMIFS(#REF!,#REF!,$A7,#REF!,"&lt;="&amp;BT$4))*110%/(180-BT$4),BU$4&gt;=$C7,($L7-SUM(#REF!))*110%/(180-BT$4))</f>
        <v>#REF!</v>
      </c>
      <c r="BV7" s="32" t="e" cm="1">
        <f t="array" aca="1" ref="BV7" ca="1">_xlfn.IFS(BV$4&lt;$C7,($L7-SUMIFS(#REF!,#REF!,$A7,#REF!,"&lt;="&amp;BU$4))*110%/(180-BU$4),BV$4&gt;=$C7,($L7-SUM(#REF!))*110%/(180-BU$4))</f>
        <v>#REF!</v>
      </c>
      <c r="BW7" s="32" t="e" cm="1">
        <f t="array" aca="1" ref="BW7" ca="1">_xlfn.IFS(BW$4&lt;$C7,($L7-SUMIFS(#REF!,#REF!,$A7,#REF!,"&lt;="&amp;BV$4))*110%/(180-BV$4),BW$4&gt;=$C7,($L7-SUM(#REF!))*110%/(180-BV$4))</f>
        <v>#REF!</v>
      </c>
      <c r="BX7" s="32" t="e" cm="1">
        <f t="array" aca="1" ref="BX7" ca="1">_xlfn.IFS(BX$4&lt;$C7,($L7-SUMIFS(#REF!,#REF!,$A7,#REF!,"&lt;="&amp;BW$4))*110%/(180-BW$4),BX$4&gt;=$C7,($L7-SUM(#REF!))*110%/(180-BW$4))</f>
        <v>#REF!</v>
      </c>
      <c r="BY7" s="32" t="e" cm="1">
        <f t="array" aca="1" ref="BY7" ca="1">_xlfn.IFS(BY$4&lt;$C7,($L7-SUMIFS(#REF!,#REF!,$A7,#REF!,"&lt;="&amp;BX$4))*110%/(180-BX$4),BY$4&gt;=$C7,($L7-SUM(#REF!))*110%/(180-BX$4))</f>
        <v>#REF!</v>
      </c>
      <c r="BZ7" s="32" t="e" cm="1">
        <f t="array" aca="1" ref="BZ7" ca="1">_xlfn.IFS(BZ$4&lt;$C7,($L7-SUMIFS(#REF!,#REF!,$A7,#REF!,"&lt;="&amp;BY$4))*110%/(180-BY$4),BZ$4&gt;=$C7,($L7-SUM(#REF!))*110%/(180-BY$4))</f>
        <v>#REF!</v>
      </c>
      <c r="CA7" s="32" t="e" cm="1">
        <f t="array" aca="1" ref="CA7" ca="1">_xlfn.IFS(CA$4&lt;$C7,($L7-SUMIFS(#REF!,#REF!,$A7,#REF!,"&lt;="&amp;BZ$4))*110%/(180-BZ$4),CA$4&gt;=$C7,($L7-SUM(#REF!))*110%/(180-BZ$4))</f>
        <v>#REF!</v>
      </c>
      <c r="CB7" s="32" t="e" cm="1">
        <f t="array" aca="1" ref="CB7" ca="1">_xlfn.IFS(CB$4&lt;$C7,($L7-SUMIFS(#REF!,#REF!,$A7,#REF!,"&lt;="&amp;CA$4))*110%/(180-CA$4),CB$4&gt;=$C7,($L7-SUM(#REF!))*110%/(180-CA$4))</f>
        <v>#REF!</v>
      </c>
      <c r="CC7" s="32" t="e" cm="1">
        <f t="array" aca="1" ref="CC7" ca="1">_xlfn.IFS(CC$4&lt;$C7,($L7-SUMIFS(#REF!,#REF!,$A7,#REF!,"&lt;="&amp;CB$4))*110%/(180-CB$4),CC$4&gt;=$C7,($L7-SUM(#REF!))*110%/(180-CB$4))</f>
        <v>#REF!</v>
      </c>
      <c r="CD7" s="32" t="e" cm="1">
        <f t="array" aca="1" ref="CD7" ca="1">_xlfn.IFS(CD$4&lt;$C7,($L7-SUMIFS(#REF!,#REF!,$A7,#REF!,"&lt;="&amp;CC$4))*110%/(180-CC$4),CD$4&gt;=$C7,($L7-SUM(#REF!))*110%/(180-CC$4))</f>
        <v>#REF!</v>
      </c>
      <c r="CE7" s="32" t="e" cm="1">
        <f t="array" aca="1" ref="CE7" ca="1">_xlfn.IFS(CE$4&lt;$C7,($L7-SUMIFS(#REF!,#REF!,$A7,#REF!,"&lt;="&amp;CD$4))*110%/(180-CD$4),CE$4&gt;=$C7,($L7-SUM(#REF!))*110%/(180-CD$4))</f>
        <v>#REF!</v>
      </c>
      <c r="CF7" s="32" t="e" cm="1">
        <f t="array" aca="1" ref="CF7" ca="1">_xlfn.IFS(CF$4&lt;$C7,($L7-SUMIFS(#REF!,#REF!,$A7,#REF!,"&lt;="&amp;CE$4))*110%/(180-CE$4),CF$4&gt;=$C7,($L7-SUM(#REF!))*110%/(180-CE$4))</f>
        <v>#REF!</v>
      </c>
      <c r="CG7" s="32" t="e" cm="1">
        <f t="array" aca="1" ref="CG7" ca="1">_xlfn.IFS(CG$4&lt;$C7,($L7-SUMIFS(#REF!,#REF!,$A7,#REF!,"&lt;="&amp;CF$4))*110%/(180-CF$4),CG$4&gt;=$C7,($L7-SUM(#REF!))*110%/(180-CF$4))</f>
        <v>#REF!</v>
      </c>
      <c r="CH7" s="32" t="e" cm="1">
        <f t="array" aca="1" ref="CH7" ca="1">_xlfn.IFS(CH$4&lt;$C7,($L7-SUMIFS(#REF!,#REF!,$A7,#REF!,"&lt;="&amp;CG$4))*110%/(180-CG$4),CH$4&gt;=$C7,($L7-SUM(#REF!))*110%/(180-CG$4))</f>
        <v>#REF!</v>
      </c>
      <c r="CI7" s="32" t="e" cm="1">
        <f t="array" aca="1" ref="CI7" ca="1">_xlfn.IFS(CI$4&lt;$C7,($L7-SUMIFS(#REF!,#REF!,$A7,#REF!,"&lt;="&amp;CH$4))*110%/(180-CH$4),CI$4&gt;=$C7,($L7-SUM(#REF!))*110%/(180-CH$4))</f>
        <v>#REF!</v>
      </c>
      <c r="CJ7" s="32" t="e" cm="1">
        <f t="array" aca="1" ref="CJ7" ca="1">_xlfn.IFS(CJ$4&lt;$C7,($L7-SUMIFS(#REF!,#REF!,$A7,#REF!,"&lt;="&amp;CI$4))*110%/(180-CI$4),CJ$4&gt;=$C7,($L7-SUM(#REF!))*110%/(180-CI$4))</f>
        <v>#REF!</v>
      </c>
      <c r="CK7" s="32" t="e" cm="1">
        <f t="array" aca="1" ref="CK7" ca="1">_xlfn.IFS(CK$4&lt;$C7,($L7-SUMIFS(#REF!,#REF!,$A7,#REF!,"&lt;="&amp;CJ$4))*110%/(180-CJ$4),CK$4&gt;=$C7,($L7-SUM(#REF!))*110%/(180-CJ$4))</f>
        <v>#REF!</v>
      </c>
      <c r="CL7" s="32" t="e" cm="1">
        <f t="array" aca="1" ref="CL7" ca="1">_xlfn.IFS(CL$4&lt;$C7,($L7-SUMIFS(#REF!,#REF!,$A7,#REF!,"&lt;="&amp;CK$4))*110%/(180-CK$4),CL$4&gt;=$C7,($L7-SUM(#REF!))*110%/(180-CK$4))</f>
        <v>#REF!</v>
      </c>
      <c r="CM7" s="32" t="e" cm="1">
        <f t="array" aca="1" ref="CM7" ca="1">_xlfn.IFS(CM$4&lt;$C7,($L7-SUMIFS(#REF!,#REF!,$A7,#REF!,"&lt;="&amp;CL$4))*110%/(180-CL$4),CM$4&gt;=$C7,($L7-SUM(#REF!))*110%/(180-CL$4))</f>
        <v>#REF!</v>
      </c>
      <c r="CN7" s="32" t="e" cm="1">
        <f t="array" aca="1" ref="CN7" ca="1">_xlfn.IFS(CN$4&lt;$C7,($L7-SUMIFS(#REF!,#REF!,$A7,#REF!,"&lt;="&amp;CM$4))*110%/(180-CM$4),CN$4&gt;=$C7,($L7-SUM(#REF!))*110%/(180-CM$4))</f>
        <v>#REF!</v>
      </c>
      <c r="CO7" s="32" t="e" cm="1">
        <f t="array" aca="1" ref="CO7" ca="1">_xlfn.IFS(CO$4&lt;$C7,($L7-SUMIFS(#REF!,#REF!,$A7,#REF!,"&lt;="&amp;CN$4))*110%/(180-CN$4),CO$4&gt;=$C7,($L7-SUM(#REF!))*110%/(180-CN$4))</f>
        <v>#REF!</v>
      </c>
      <c r="CP7" s="32" t="e" cm="1">
        <f t="array" aca="1" ref="CP7" ca="1">_xlfn.IFS(CP$4&lt;$C7,($L7-SUMIFS(#REF!,#REF!,$A7,#REF!,"&lt;="&amp;CO$4))*110%/(180-CO$4),CP$4&gt;=$C7,($L7-SUM(#REF!))*110%/(180-CO$4))</f>
        <v>#REF!</v>
      </c>
      <c r="CQ7" s="32" t="e" cm="1">
        <f t="array" aca="1" ref="CQ7" ca="1">_xlfn.IFS(CQ$4&lt;$C7,($L7-SUMIFS(#REF!,#REF!,$A7,#REF!,"&lt;="&amp;CP$4))*110%/(180-CP$4),CQ$4&gt;=$C7,($L7-SUM(#REF!))*110%/(180-CP$4))</f>
        <v>#REF!</v>
      </c>
      <c r="CR7" s="32" t="e" cm="1">
        <f t="array" aca="1" ref="CR7" ca="1">_xlfn.IFS(CR$4&lt;$C7,($L7-SUMIFS(#REF!,#REF!,$A7,#REF!,"&lt;="&amp;CQ$4))*110%/(180-CQ$4),CR$4&gt;=$C7,($L7-SUM(#REF!))*110%/(180-CQ$4))</f>
        <v>#REF!</v>
      </c>
      <c r="CS7" s="32" t="e" cm="1">
        <f t="array" aca="1" ref="CS7" ca="1">_xlfn.IFS(CS$4&lt;$C7,($L7-SUMIFS(#REF!,#REF!,$A7,#REF!,"&lt;="&amp;CR$4))*110%/(180-CR$4),CS$4&gt;=$C7,($L7-SUM(#REF!))*110%/(180-CR$4))</f>
        <v>#REF!</v>
      </c>
      <c r="CT7" s="32" t="e" cm="1">
        <f t="array" aca="1" ref="CT7" ca="1">_xlfn.IFS(CT$4&lt;$C7,($L7-SUMIFS(#REF!,#REF!,$A7,#REF!,"&lt;="&amp;CS$4))*110%/(180-CS$4),CT$4&gt;=$C7,($L7-SUM(#REF!))*110%/(180-CS$4))</f>
        <v>#REF!</v>
      </c>
      <c r="CU7" s="32" t="e" cm="1">
        <f t="array" aca="1" ref="CU7" ca="1">_xlfn.IFS(CU$4&lt;$C7,($L7-SUMIFS(#REF!,#REF!,$A7,#REF!,"&lt;="&amp;CT$4))*110%/(180-CT$4),CU$4&gt;=$C7,($L7-SUM(#REF!))*110%/(180-CT$4))</f>
        <v>#REF!</v>
      </c>
      <c r="CV7" s="32" t="e" cm="1">
        <f t="array" aca="1" ref="CV7" ca="1">_xlfn.IFS(CV$4&lt;$C7,($L7-SUMIFS(#REF!,#REF!,$A7,#REF!,"&lt;="&amp;CU$4))*110%/(180-CU$4),CV$4&gt;=$C7,($L7-SUM(#REF!))*110%/(180-CU$4))</f>
        <v>#REF!</v>
      </c>
      <c r="CW7" s="32" t="e" cm="1">
        <f t="array" aca="1" ref="CW7" ca="1">_xlfn.IFS(CW$4&lt;$C7,($L7-SUMIFS(#REF!,#REF!,$A7,#REF!,"&lt;="&amp;CV$4))*110%/(180-CV$4),CW$4&gt;=$C7,($L7-SUM(#REF!))*110%/(180-CV$4))</f>
        <v>#REF!</v>
      </c>
      <c r="CX7" s="32" t="e" cm="1">
        <f t="array" aca="1" ref="CX7" ca="1">_xlfn.IFS(CX$4&lt;$C7,($L7-SUMIFS(#REF!,#REF!,$A7,#REF!,"&lt;="&amp;CW$4))*110%/(180-CW$4),CX$4&gt;=$C7,($L7-SUM(#REF!))*110%/(180-CW$4))</f>
        <v>#REF!</v>
      </c>
      <c r="CY7" s="32" t="e" cm="1">
        <f t="array" aca="1" ref="CY7" ca="1">_xlfn.IFS(CY$4&lt;$C7,($L7-SUMIFS(#REF!,#REF!,$A7,#REF!,"&lt;="&amp;CX$4))*110%/(180-CX$4),CY$4&gt;=$C7,($L7-SUM(#REF!))*110%/(180-CX$4))</f>
        <v>#REF!</v>
      </c>
      <c r="CZ7" s="32" t="e" cm="1">
        <f t="array" aca="1" ref="CZ7" ca="1">_xlfn.IFS(CZ$4&lt;$C7,($L7-SUMIFS(#REF!,#REF!,$A7,#REF!,"&lt;="&amp;CY$4))*110%/(180-CY$4),CZ$4&gt;=$C7,($L7-SUM(#REF!))*110%/(180-CY$4))</f>
        <v>#REF!</v>
      </c>
      <c r="DA7" s="32" t="e" cm="1">
        <f t="array" aca="1" ref="DA7" ca="1">_xlfn.IFS(DA$4&lt;$C7,($L7-SUMIFS(#REF!,#REF!,$A7,#REF!,"&lt;="&amp;CZ$4))*110%/(180-CZ$4),DA$4&gt;=$C7,($L7-SUM(#REF!))*110%/(180-CZ$4))</f>
        <v>#REF!</v>
      </c>
      <c r="DB7" s="32" t="e" cm="1">
        <f t="array" aca="1" ref="DB7" ca="1">_xlfn.IFS(DB$4&lt;$C7,($L7-SUMIFS(#REF!,#REF!,$A7,#REF!,"&lt;="&amp;DA$4))*110%/(180-DA$4),DB$4&gt;=$C7,($L7-SUM(#REF!))*110%/(180-DA$4))</f>
        <v>#REF!</v>
      </c>
      <c r="DC7" s="32" t="e" cm="1">
        <f t="array" aca="1" ref="DC7" ca="1">_xlfn.IFS(DC$4&lt;$C7,($L7-SUMIFS(#REF!,#REF!,$A7,#REF!,"&lt;="&amp;DB$4))*110%/(180-DB$4),DC$4&gt;=$C7,($L7-SUM(#REF!))*110%/(180-DB$4))</f>
        <v>#REF!</v>
      </c>
      <c r="DD7" s="32" t="e" cm="1">
        <f t="array" aca="1" ref="DD7" ca="1">_xlfn.IFS(DD$4&lt;$C7,($L7-SUMIFS(#REF!,#REF!,$A7,#REF!,"&lt;="&amp;DC$4))*110%/(180-DC$4),DD$4&gt;=$C7,($L7-SUM(#REF!))*110%/(180-DC$4))</f>
        <v>#REF!</v>
      </c>
      <c r="DE7" s="32" t="e" cm="1">
        <f t="array" aca="1" ref="DE7" ca="1">_xlfn.IFS(DE$4&lt;$C7,($L7-SUMIFS(#REF!,#REF!,$A7,#REF!,"&lt;="&amp;DD$4))*110%/(180-DD$4),DE$4&gt;=$C7,($L7-SUM(#REF!))*110%/(180-DD$4))</f>
        <v>#REF!</v>
      </c>
      <c r="DF7" s="32" t="e" cm="1">
        <f t="array" aca="1" ref="DF7" ca="1">_xlfn.IFS(DF$4&lt;$C7,($L7-SUMIFS(#REF!,#REF!,$A7,#REF!,"&lt;="&amp;DE$4))*110%/(180-DE$4),DF$4&gt;=$C7,($L7-SUM(#REF!))*110%/(180-DE$4))</f>
        <v>#REF!</v>
      </c>
      <c r="DG7" s="32" t="e" cm="1">
        <f t="array" aca="1" ref="DG7" ca="1">_xlfn.IFS(DG$4&lt;$C7,($L7-SUMIFS(#REF!,#REF!,$A7,#REF!,"&lt;="&amp;DF$4))*110%/(180-DF$4),DG$4&gt;=$C7,($L7-SUM(#REF!))*110%/(180-DF$4))</f>
        <v>#REF!</v>
      </c>
      <c r="DH7" s="32" t="e" cm="1">
        <f t="array" aca="1" ref="DH7" ca="1">_xlfn.IFS(DH$4&lt;$C7,($L7-SUMIFS(#REF!,#REF!,$A7,#REF!,"&lt;="&amp;DG$4))*110%/(180-DG$4),DH$4&gt;=$C7,($L7-SUM(#REF!))*110%/(180-DG$4))</f>
        <v>#REF!</v>
      </c>
      <c r="DI7" s="32" t="e" cm="1">
        <f t="array" aca="1" ref="DI7" ca="1">_xlfn.IFS(DI$4&lt;$C7,($L7-SUMIFS(#REF!,#REF!,$A7,#REF!,"&lt;="&amp;DH$4))*110%/(180-DH$4),DI$4&gt;=$C7,($L7-SUM(#REF!))*110%/(180-DH$4))</f>
        <v>#REF!</v>
      </c>
      <c r="DJ7" s="32" t="e" cm="1">
        <f t="array" aca="1" ref="DJ7" ca="1">_xlfn.IFS(DJ$4&lt;$C7,($L7-SUMIFS(#REF!,#REF!,$A7,#REF!,"&lt;="&amp;DI$4))*110%/(180-DI$4),DJ$4&gt;=$C7,($L7-SUM(#REF!))*110%/(180-DI$4))</f>
        <v>#REF!</v>
      </c>
      <c r="DK7" s="32" t="e" cm="1">
        <f t="array" aca="1" ref="DK7" ca="1">_xlfn.IFS(DK$4&lt;$C7,($L7-SUMIFS(#REF!,#REF!,$A7,#REF!,"&lt;="&amp;DJ$4))*110%/(180-DJ$4),DK$4&gt;=$C7,($L7-SUM(#REF!))*110%/(180-DJ$4))</f>
        <v>#REF!</v>
      </c>
      <c r="DL7" s="32" t="e" cm="1">
        <f t="array" aca="1" ref="DL7" ca="1">_xlfn.IFS(DL$4&lt;$C7,($L7-SUMIFS(#REF!,#REF!,$A7,#REF!,"&lt;="&amp;DK$4))*110%/(180-DK$4),DL$4&gt;=$C7,($L7-SUM(#REF!))*110%/(180-DK$4))</f>
        <v>#REF!</v>
      </c>
      <c r="DM7" s="32" t="e" cm="1">
        <f t="array" aca="1" ref="DM7" ca="1">_xlfn.IFS(DM$4&lt;$C7,($L7-SUMIFS(#REF!,#REF!,$A7,#REF!,"&lt;="&amp;DL$4))*110%/(180-DL$4),DM$4&gt;=$C7,($L7-SUM(#REF!))*110%/(180-DL$4))</f>
        <v>#REF!</v>
      </c>
      <c r="DN7" s="32" t="e" cm="1">
        <f t="array" aca="1" ref="DN7" ca="1">_xlfn.IFS(DN$4&lt;$C7,($L7-SUMIFS(#REF!,#REF!,$A7,#REF!,"&lt;="&amp;DM$4))*110%/(180-DM$4),DN$4&gt;=$C7,($L7-SUM(#REF!))*110%/(180-DM$4))</f>
        <v>#REF!</v>
      </c>
      <c r="DO7" s="32" t="e" cm="1">
        <f t="array" aca="1" ref="DO7" ca="1">_xlfn.IFS(DO$4&lt;$C7,($L7-SUMIFS(#REF!,#REF!,$A7,#REF!,"&lt;="&amp;DN$4))*110%/(180-DN$4),DO$4&gt;=$C7,($L7-SUM(#REF!))*110%/(180-DN$4))</f>
        <v>#REF!</v>
      </c>
      <c r="DP7" s="32" t="e" cm="1">
        <f t="array" aca="1" ref="DP7" ca="1">_xlfn.IFS(DP$4&lt;$C7,($L7-SUMIFS(#REF!,#REF!,$A7,#REF!,"&lt;="&amp;DO$4))*110%/(180-DO$4),DP$4&gt;=$C7,($L7-SUM(#REF!))*110%/(180-DO$4))</f>
        <v>#REF!</v>
      </c>
      <c r="DQ7" s="32" t="e" cm="1">
        <f t="array" aca="1" ref="DQ7" ca="1">_xlfn.IFS(DQ$4&lt;$C7,($L7-SUMIFS(#REF!,#REF!,$A7,#REF!,"&lt;="&amp;DP$4))*110%/(180-DP$4),DQ$4&gt;=$C7,($L7-SUM(#REF!))*110%/(180-DP$4))</f>
        <v>#REF!</v>
      </c>
      <c r="DR7" s="32" t="e" cm="1">
        <f t="array" aca="1" ref="DR7" ca="1">_xlfn.IFS(DR$4&lt;$C7,($L7-SUMIFS(#REF!,#REF!,$A7,#REF!,"&lt;="&amp;DQ$4))*110%/(180-DQ$4),DR$4&gt;=$C7,($L7-SUM(#REF!))*110%/(180-DQ$4))</f>
        <v>#REF!</v>
      </c>
      <c r="DS7" s="32" t="e" cm="1">
        <f t="array" aca="1" ref="DS7" ca="1">_xlfn.IFS(DS$4&lt;$C7,($L7-SUMIFS(#REF!,#REF!,$A7,#REF!,"&lt;="&amp;DR$4))*110%/(180-DR$4),DS$4&gt;=$C7,($L7-SUM(#REF!))*110%/(180-DR$4))</f>
        <v>#REF!</v>
      </c>
      <c r="DT7" s="32" t="e" cm="1">
        <f t="array" aca="1" ref="DT7" ca="1">_xlfn.IFS(DT$4&lt;$C7,($L7-SUMIFS(#REF!,#REF!,$A7,#REF!,"&lt;="&amp;DS$4))*110%/(180-DS$4),DT$4&gt;=$C7,($L7-SUM(#REF!))*110%/(180-DS$4))</f>
        <v>#REF!</v>
      </c>
      <c r="DU7" s="32" t="e" cm="1">
        <f t="array" aca="1" ref="DU7" ca="1">_xlfn.IFS(DU$4&lt;$C7,($L7-SUMIFS(#REF!,#REF!,$A7,#REF!,"&lt;="&amp;DT$4))*110%/(180-DT$4),DU$4&gt;=$C7,($L7-SUM(#REF!))*110%/(180-DT$4))</f>
        <v>#REF!</v>
      </c>
      <c r="DV7" s="32" t="e" cm="1">
        <f t="array" aca="1" ref="DV7" ca="1">_xlfn.IFS(DV$4&lt;$C7,($L7-SUMIFS(#REF!,#REF!,$A7,#REF!,"&lt;="&amp;DU$4))*110%/(180-DU$4),DV$4&gt;=$C7,($L7-SUM(#REF!))*110%/(180-DU$4))</f>
        <v>#REF!</v>
      </c>
      <c r="DW7" s="32" t="e" cm="1">
        <f t="array" aca="1" ref="DW7" ca="1">_xlfn.IFS(DW$4&lt;$C7,($L7-SUMIFS(#REF!,#REF!,$A7,#REF!,"&lt;="&amp;DV$4))*110%/(180-DV$4),DW$4&gt;=$C7,($L7-SUM(#REF!))*110%/(180-DV$4))</f>
        <v>#REF!</v>
      </c>
      <c r="DX7" s="32" t="e" cm="1">
        <f t="array" aca="1" ref="DX7" ca="1">_xlfn.IFS(DX$4&lt;$C7,($L7-SUMIFS(#REF!,#REF!,$A7,#REF!,"&lt;="&amp;DW$4))*110%/(180-DW$4),DX$4&gt;=$C7,($L7-SUM(#REF!))*110%/(180-DW$4))</f>
        <v>#REF!</v>
      </c>
      <c r="DY7" s="32" t="e" cm="1">
        <f t="array" aca="1" ref="DY7" ca="1">_xlfn.IFS(DY$4&lt;$C7,($L7-SUMIFS(#REF!,#REF!,$A7,#REF!,"&lt;="&amp;DX$4))*110%/(180-DX$4),DY$4&gt;=$C7,($L7-SUM(#REF!))*110%/(180-DX$4))</f>
        <v>#REF!</v>
      </c>
      <c r="DZ7" s="32" t="e" cm="1">
        <f t="array" aca="1" ref="DZ7" ca="1">_xlfn.IFS(DZ$4&lt;$C7,($L7-SUMIFS(#REF!,#REF!,$A7,#REF!,"&lt;="&amp;DY$4))*110%/(180-DY$4),DZ$4&gt;=$C7,($L7-SUM(#REF!))*110%/(180-DY$4))</f>
        <v>#REF!</v>
      </c>
      <c r="EA7" s="32" t="e" cm="1">
        <f t="array" aca="1" ref="EA7" ca="1">_xlfn.IFS(EA$4&lt;$C7,($L7-SUMIFS(#REF!,#REF!,$A7,#REF!,"&lt;="&amp;DZ$4))*110%/(180-DZ$4),EA$4&gt;=$C7,($L7-SUM(#REF!))*110%/(180-DZ$4))</f>
        <v>#REF!</v>
      </c>
      <c r="EB7" s="32" t="e" cm="1">
        <f t="array" aca="1" ref="EB7" ca="1">_xlfn.IFS(EB$4&lt;$C7,($L7-SUMIFS(#REF!,#REF!,$A7,#REF!,"&lt;="&amp;EA$4))*110%/(180-EA$4),EB$4&gt;=$C7,($L7-SUM(#REF!))*110%/(180-EA$4))</f>
        <v>#REF!</v>
      </c>
      <c r="EC7" s="32" t="e" cm="1">
        <f t="array" aca="1" ref="EC7" ca="1">_xlfn.IFS(EC$4&lt;$C7,($L7-SUMIFS(#REF!,#REF!,$A7,#REF!,"&lt;="&amp;EB$4))*110%/(180-EB$4),EC$4&gt;=$C7,($L7-SUM(#REF!))*110%/(180-EB$4))</f>
        <v>#REF!</v>
      </c>
      <c r="ED7" s="32" t="e" cm="1">
        <f t="array" aca="1" ref="ED7" ca="1">_xlfn.IFS(ED$4&lt;$C7,($L7-SUMIFS(#REF!,#REF!,$A7,#REF!,"&lt;="&amp;EC$4))*110%/(180-EC$4),ED$4&gt;=$C7,($L7-SUM(#REF!))*110%/(180-EC$4))</f>
        <v>#REF!</v>
      </c>
      <c r="EE7" s="32" t="e" cm="1">
        <f t="array" aca="1" ref="EE7" ca="1">_xlfn.IFS(EE$4&lt;$C7,($L7-SUMIFS(#REF!,#REF!,$A7,#REF!,"&lt;="&amp;ED$4))*110%/(180-ED$4),EE$4&gt;=$C7,($L7-SUM(#REF!))*110%/(180-ED$4))</f>
        <v>#REF!</v>
      </c>
      <c r="EF7" s="32" t="e" cm="1">
        <f t="array" aca="1" ref="EF7" ca="1">_xlfn.IFS(EF$4&lt;$C7,($L7-SUMIFS(#REF!,#REF!,$A7,#REF!,"&lt;="&amp;EE$4))*100%/(180-EE$4),EF$4&gt;=$C7,($L7-SUM(#REF!))*100%/(180-EE$4))</f>
        <v>#REF!</v>
      </c>
      <c r="EG7" s="32" t="e" cm="1">
        <f t="array" aca="1" ref="EG7" ca="1">_xlfn.IFS(EG$4&lt;$C7,($L7-SUMIFS(#REF!,#REF!,$A7,#REF!,"&lt;="&amp;EF$4))*100%/(180-EF$4),EG$4&gt;=$C7,($L7-SUM(#REF!))*100%/(180-EF$4))</f>
        <v>#REF!</v>
      </c>
      <c r="EH7" s="32" t="e" cm="1">
        <f t="array" aca="1" ref="EH7" ca="1">_xlfn.IFS(EH$4&lt;$C7,($L7-SUMIFS(#REF!,#REF!,$A7,#REF!,"&lt;="&amp;EG$4))*100%/(180-EG$4),EH$4&gt;=$C7,($L7-SUM(#REF!))*100%/(180-EG$4))</f>
        <v>#REF!</v>
      </c>
      <c r="EI7" s="32" t="e" cm="1">
        <f t="array" aca="1" ref="EI7" ca="1">_xlfn.IFS(EI$4&lt;$C7,($L7-SUMIFS(#REF!,#REF!,$A7,#REF!,"&lt;="&amp;EH$4))*100%/(180-EH$4),EI$4&gt;=$C7,($L7-SUM(#REF!))*100%/(180-EH$4))</f>
        <v>#REF!</v>
      </c>
      <c r="EJ7" s="32" t="e" cm="1">
        <f t="array" aca="1" ref="EJ7" ca="1">_xlfn.IFS(EJ$4&lt;$C7,($L7-SUMIFS(#REF!,#REF!,$A7,#REF!,"&lt;="&amp;EI$4))*100%/(180-EI$4),EJ$4&gt;=$C7,($L7-SUM(#REF!))*100%/(180-EI$4))</f>
        <v>#REF!</v>
      </c>
      <c r="EK7" s="32" t="e" cm="1">
        <f t="array" aca="1" ref="EK7" ca="1">_xlfn.IFS(EK$4&lt;$C7,($L7-SUMIFS(#REF!,#REF!,$A7,#REF!,"&lt;="&amp;EJ$4))*100%/(180-EJ$4),EK$4&gt;=$C7,($L7-SUM(#REF!))*100%/(180-EJ$4))</f>
        <v>#REF!</v>
      </c>
      <c r="EL7" s="32" t="e" cm="1">
        <f t="array" aca="1" ref="EL7" ca="1">_xlfn.IFS(EL$4&lt;$C7,($L7-SUMIFS(#REF!,#REF!,$A7,#REF!,"&lt;="&amp;EK$4))*100%/(180-EK$4),EL$4&gt;=$C7,($L7-SUM(#REF!))*100%/(180-EK$4))</f>
        <v>#REF!</v>
      </c>
      <c r="EM7" s="32" t="e" cm="1">
        <f t="array" aca="1" ref="EM7" ca="1">_xlfn.IFS(EM$4&lt;$C7,($L7-SUMIFS(#REF!,#REF!,$A7,#REF!,"&lt;="&amp;EL$4))*100%/(180-EL$4),EM$4&gt;=$C7,($L7-SUM(#REF!))*100%/(180-EL$4))</f>
        <v>#REF!</v>
      </c>
      <c r="EN7" s="32" t="e" cm="1">
        <f t="array" aca="1" ref="EN7" ca="1">_xlfn.IFS(EN$4&lt;$C7,($L7-SUMIFS(#REF!,#REF!,$A7,#REF!,"&lt;="&amp;EM$4))*100%/(180-EM$4),EN$4&gt;=$C7,($L7-SUM(#REF!))*100%/(180-EM$4))</f>
        <v>#REF!</v>
      </c>
      <c r="EO7" s="32" t="e" cm="1">
        <f t="array" aca="1" ref="EO7" ca="1">_xlfn.IFS(EO$4&lt;$C7,($L7-SUMIFS(#REF!,#REF!,$A7,#REF!,"&lt;="&amp;EN$4))*100%/(180-EN$4),EO$4&gt;=$C7,($L7-SUM(#REF!))*100%/(180-EN$4))</f>
        <v>#REF!</v>
      </c>
      <c r="EP7" s="32" t="e" cm="1">
        <f t="array" aca="1" ref="EP7" ca="1">_xlfn.IFS(EP$4&lt;$C7,($L7-SUMIFS(#REF!,#REF!,$A7,#REF!,"&lt;="&amp;EO$4))*100%/(180-EO$4),EP$4&gt;=$C7,($L7-SUM(#REF!))*100%/(180-EO$4))</f>
        <v>#REF!</v>
      </c>
      <c r="EQ7" s="32" t="e" cm="1">
        <f t="array" aca="1" ref="EQ7" ca="1">_xlfn.IFS(EQ$4&lt;$C7,($L7-SUMIFS(#REF!,#REF!,$A7,#REF!,"&lt;="&amp;EP$4))*100%/(180-EP$4),EQ$4&gt;=$C7,($L7-SUM(#REF!))*100%/(180-EP$4))</f>
        <v>#REF!</v>
      </c>
      <c r="ER7" s="32" t="e" cm="1">
        <f t="array" aca="1" ref="ER7" ca="1">_xlfn.IFS(ER$4&lt;$C7,($L7-SUMIFS(#REF!,#REF!,$A7,#REF!,"&lt;="&amp;EQ$4))*100%/(180-EQ$4),ER$4&gt;=$C7,($L7-SUM(#REF!))*100%/(180-EQ$4))</f>
        <v>#REF!</v>
      </c>
      <c r="ES7" s="32" t="e" cm="1">
        <f t="array" aca="1" ref="ES7" ca="1">_xlfn.IFS(ES$4&lt;$C7,($L7-SUMIFS(#REF!,#REF!,$A7,#REF!,"&lt;="&amp;ER$4))*100%/(180-ER$4),ES$4&gt;=$C7,($L7-SUM(#REF!))*100%/(180-ER$4))</f>
        <v>#REF!</v>
      </c>
      <c r="ET7" s="32" t="e" cm="1">
        <f t="array" aca="1" ref="ET7" ca="1">_xlfn.IFS(ET$4&lt;$C7,($L7-SUMIFS(#REF!,#REF!,$A7,#REF!,"&lt;="&amp;ES$4))*100%/(180-ES$4),ET$4&gt;=$C7,($L7-SUM(#REF!))*100%/(180-ES$4))</f>
        <v>#REF!</v>
      </c>
      <c r="EU7" s="32" t="e" cm="1">
        <f t="array" aca="1" ref="EU7" ca="1">_xlfn.IFS(EU$4&lt;$C7,($L7-SUMIFS(#REF!,#REF!,$A7,#REF!,"&lt;="&amp;ET$4))*100%/(180-ET$4),EU$4&gt;=$C7,($L7-SUM(#REF!))*100%/(180-ET$4))</f>
        <v>#REF!</v>
      </c>
      <c r="EV7" s="32" t="e" cm="1">
        <f t="array" aca="1" ref="EV7" ca="1">_xlfn.IFS(EV$4&lt;$C7,($L7-SUMIFS(#REF!,#REF!,$A7,#REF!,"&lt;="&amp;EU$4))*100%/(180-EU$4),EV$4&gt;=$C7,($L7-SUM(#REF!))*100%/(180-EU$4))</f>
        <v>#REF!</v>
      </c>
      <c r="EW7" s="32" t="e" cm="1">
        <f t="array" aca="1" ref="EW7" ca="1">_xlfn.IFS(EW$4&lt;$C7,($L7-SUMIFS(#REF!,#REF!,$A7,#REF!,"&lt;="&amp;EV$4))*100%/(180-EV$4),EW$4&gt;=$C7,($L7-SUM(#REF!))*100%/(180-EV$4))</f>
        <v>#REF!</v>
      </c>
      <c r="EX7" s="32" t="e" cm="1">
        <f t="array" aca="1" ref="EX7" ca="1">_xlfn.IFS(EX$4&lt;$C7,($L7-SUMIFS(#REF!,#REF!,$A7,#REF!,"&lt;="&amp;EW$4))*100%/(180-EW$4),EX$4&gt;=$C7,($L7-SUM(#REF!))*100%/(180-EW$4))</f>
        <v>#REF!</v>
      </c>
      <c r="EY7" s="32" t="e" cm="1">
        <f t="array" aca="1" ref="EY7" ca="1">_xlfn.IFS(EY$4&lt;$C7,($L7-SUMIFS(#REF!,#REF!,$A7,#REF!,"&lt;="&amp;EX$4))*100%/(180-EX$4),EY$4&gt;=$C7,($L7-SUM(#REF!))*100%/(180-EX$4))</f>
        <v>#REF!</v>
      </c>
      <c r="EZ7" s="32" t="e" cm="1">
        <f t="array" aca="1" ref="EZ7" ca="1">_xlfn.IFS(EZ$4&lt;$C7,($L7-SUMIFS(#REF!,#REF!,$A7,#REF!,"&lt;="&amp;EY$4))*100%/(180-EY$4),EZ$4&gt;=$C7,($L7-SUM(#REF!))*100%/(180-EY$4))</f>
        <v>#REF!</v>
      </c>
      <c r="FA7" s="32" t="e" cm="1">
        <f t="array" aca="1" ref="FA7" ca="1">_xlfn.IFS(FA$4&lt;$C7,($L7-SUMIFS(#REF!,#REF!,$A7,#REF!,"&lt;="&amp;EZ$4))*100%/(180-EZ$4),FA$4&gt;=$C7,($L7-SUM(#REF!))*100%/(180-EZ$4))</f>
        <v>#REF!</v>
      </c>
      <c r="FB7" s="32" t="e" cm="1">
        <f t="array" aca="1" ref="FB7" ca="1">_xlfn.IFS(FB$4&lt;$C7,($L7-SUMIFS(#REF!,#REF!,$A7,#REF!,"&lt;="&amp;FA$4))*100%/(180-FA$4),FB$4&gt;=$C7,($L7-SUM(#REF!))*100%/(180-FA$4))</f>
        <v>#REF!</v>
      </c>
      <c r="FC7" s="32" t="e" cm="1">
        <f t="array" aca="1" ref="FC7" ca="1">_xlfn.IFS(FC$4&lt;$C7,($L7-SUMIFS(#REF!,#REF!,$A7,#REF!,"&lt;="&amp;FB$4))*100%/(180-FB$4),FC$4&gt;=$C7,($L7-SUM(#REF!))*100%/(180-FB$4))</f>
        <v>#REF!</v>
      </c>
      <c r="FD7" s="32" t="e" cm="1">
        <f t="array" aca="1" ref="FD7" ca="1">_xlfn.IFS(FD$4&lt;$C7,($L7-SUMIFS(#REF!,#REF!,$A7,#REF!,"&lt;="&amp;FC$4))*100%/(180-FC$4),FD$4&gt;=$C7,($L7-SUM(#REF!))*100%/(180-FC$4))</f>
        <v>#REF!</v>
      </c>
      <c r="FE7" s="32" t="e" cm="1">
        <f t="array" aca="1" ref="FE7" ca="1">_xlfn.IFS(FE$4&lt;$C7,($L7-SUMIFS(#REF!,#REF!,$A7,#REF!,"&lt;="&amp;FD$4))*100%/(180-FD$4),FE$4&gt;=$C7,($L7-SUM(#REF!))*100%/(180-FD$4))</f>
        <v>#REF!</v>
      </c>
      <c r="FF7" s="32" t="e" cm="1">
        <f t="array" aca="1" ref="FF7" ca="1">_xlfn.IFS(FF$4&lt;$C7,($L7-SUMIFS(#REF!,#REF!,$A7,#REF!,"&lt;="&amp;FE$4))*100%/(180-FE$4),FF$4&gt;=$C7,($L7-SUM(#REF!))*100%/(180-FE$4))</f>
        <v>#REF!</v>
      </c>
      <c r="FG7" s="32" t="e" cm="1">
        <f t="array" aca="1" ref="FG7" ca="1">_xlfn.IFS(FG$4&lt;$C7,($L7-SUMIFS(#REF!,#REF!,$A7,#REF!,"&lt;="&amp;FF$4))*100%/(180-FF$4),FG$4&gt;=$C7,($L7-SUM(#REF!))*100%/(180-FF$4))</f>
        <v>#REF!</v>
      </c>
      <c r="FH7" s="32" t="e" cm="1">
        <f t="array" aca="1" ref="FH7" ca="1">_xlfn.IFS(FH$4&lt;$C7,($L7-SUMIFS(#REF!,#REF!,$A7,#REF!,"&lt;="&amp;FG$4))*100%/(180-FG$4),FH$4&gt;=$C7,($L7-SUM(#REF!))*100%/(180-FG$4))</f>
        <v>#REF!</v>
      </c>
      <c r="FI7" s="32" t="e" cm="1">
        <f t="array" aca="1" ref="FI7" ca="1">_xlfn.IFS(FI$4&lt;$C7,($L7-SUMIFS(#REF!,#REF!,$A7,#REF!,"&lt;="&amp;FH$4))*100%/(180-FH$4),FI$4&gt;=$C7,($L7-SUM(#REF!))*100%/(180-FH$4))</f>
        <v>#REF!</v>
      </c>
      <c r="FJ7" s="32" t="e" cm="1">
        <f t="array" aca="1" ref="FJ7" ca="1">_xlfn.IFS(FJ$4&lt;$C7,($L7-SUMIFS(#REF!,#REF!,$A7,#REF!,"&lt;="&amp;FI$4))*100%/(180-FI$4),FJ$4&gt;=$C7,($L7-SUM(#REF!))*100%/(180-FI$4))</f>
        <v>#REF!</v>
      </c>
      <c r="FK7" s="32" t="e" cm="1">
        <f t="array" aca="1" ref="FK7" ca="1">_xlfn.IFS(FK$4&lt;$C7,($L7-SUMIFS(#REF!,#REF!,$A7,#REF!,"&lt;="&amp;FJ$4))*100%/(180-FJ$4),FK$4&gt;=$C7,($L7-SUM(#REF!))*100%/(180-FJ$4))</f>
        <v>#REF!</v>
      </c>
      <c r="FL7" s="32" t="e" cm="1">
        <f t="array" aca="1" ref="FL7" ca="1">_xlfn.IFS(FL$4&lt;$C7,($L7-SUMIFS(#REF!,#REF!,$A7,#REF!,"&lt;="&amp;FK$4))*100%/(180-FK$4),FL$4&gt;=$C7,($L7-SUM(#REF!))*100%/(180-FK$4))</f>
        <v>#REF!</v>
      </c>
      <c r="FM7" s="32" t="e" cm="1">
        <f t="array" aca="1" ref="FM7" ca="1">_xlfn.IFS(FM$4&lt;$C7,($L7-SUMIFS(#REF!,#REF!,$A7,#REF!,"&lt;="&amp;FL$4))*100%/(180-FL$4),FM$4&gt;=$C7,($L7-SUM(#REF!))*100%/(180-FL$4))</f>
        <v>#REF!</v>
      </c>
      <c r="FN7" s="32" t="e" cm="1">
        <f t="array" aca="1" ref="FN7" ca="1">_xlfn.IFS(FN$4&lt;$C7,($L7-SUMIFS(#REF!,#REF!,$A7,#REF!,"&lt;="&amp;FM$4))*100%/(180-FM$4),FN$4&gt;=$C7,($L7-SUM(#REF!))*100%/(180-FM$4))</f>
        <v>#REF!</v>
      </c>
      <c r="FO7" s="32" t="e" cm="1">
        <f t="array" aca="1" ref="FO7" ca="1">_xlfn.IFS(FO$4&lt;$C7,($L7-SUMIFS(#REF!,#REF!,$A7,#REF!,"&lt;="&amp;FN$4))*100%/(180-FN$4),FO$4&gt;=$C7,($L7-SUM(#REF!))*100%/(180-FN$4))</f>
        <v>#REF!</v>
      </c>
      <c r="FP7" s="32" t="e" cm="1">
        <f t="array" aca="1" ref="FP7" ca="1">_xlfn.IFS(FP$4&lt;$C7,($L7-SUMIFS(#REF!,#REF!,$A7,#REF!,"&lt;="&amp;FO$4))*100%/(180-FO$4),FP$4&gt;=$C7,($L7-SUM(#REF!))*100%/(180-FO$4))</f>
        <v>#REF!</v>
      </c>
      <c r="FQ7" s="32" t="e" cm="1">
        <f t="array" aca="1" ref="FQ7" ca="1">_xlfn.IFS(FQ$4&lt;$C7,($L7-SUMIFS(#REF!,#REF!,$A7,#REF!,"&lt;="&amp;FP$4))*100%/(180-FP$4),FQ$4&gt;=$C7,($L7-SUM(#REF!))*100%/(180-FP$4))</f>
        <v>#REF!</v>
      </c>
      <c r="FR7" s="32" t="e" cm="1">
        <f t="array" aca="1" ref="FR7" ca="1">_xlfn.IFS(FR$4&lt;$C7,($L7-SUMIFS(#REF!,#REF!,$A7,#REF!,"&lt;="&amp;FQ$4))*100%/(180-FQ$4),FR$4&gt;=$C7,($L7-SUM(#REF!))*100%/(180-FQ$4))</f>
        <v>#REF!</v>
      </c>
      <c r="FS7" s="32" t="e" cm="1">
        <f t="array" aca="1" ref="FS7" ca="1">_xlfn.IFS(FS$4&lt;$C7,($L7-SUMIFS(#REF!,#REF!,$A7,#REF!,"&lt;="&amp;FR$4))*100%/(180-FR$4),FS$4&gt;=$C7,($L7-SUM(#REF!))*100%/(180-FR$4))</f>
        <v>#REF!</v>
      </c>
      <c r="FT7" s="32" t="e" cm="1">
        <f t="array" aca="1" ref="FT7" ca="1">_xlfn.IFS(FT$4&lt;$C7,($L7-SUMIFS(#REF!,#REF!,$A7,#REF!,"&lt;="&amp;FS$4))*100%/(180-FS$4),FT$4&gt;=$C7,($L7-SUM(#REF!))*100%/(180-FS$4))</f>
        <v>#REF!</v>
      </c>
      <c r="FU7" s="32" t="e" cm="1">
        <f t="array" aca="1" ref="FU7" ca="1">_xlfn.IFS(FU$4&lt;$C7,($L7-SUMIFS(#REF!,#REF!,$A7,#REF!,"&lt;="&amp;FT$4))*100%/(180-FT$4),FU$4&gt;=$C7,($L7-SUM(#REF!))*100%/(180-FT$4))</f>
        <v>#REF!</v>
      </c>
      <c r="FV7" s="32" t="e" cm="1">
        <f t="array" aca="1" ref="FV7" ca="1">_xlfn.IFS(FV$4&lt;$C7,($L7-SUMIFS(#REF!,#REF!,$A7,#REF!,"&lt;="&amp;FU$4))*100%/(180-FU$4),FV$4&gt;=$C7,($L7-SUM(#REF!))*100%/(180-FU$4))</f>
        <v>#REF!</v>
      </c>
      <c r="FW7" s="32" t="e" cm="1">
        <f t="array" aca="1" ref="FW7" ca="1">_xlfn.IFS(FW$4&lt;$C7,($L7-SUMIFS(#REF!,#REF!,$A7,#REF!,"&lt;="&amp;FV$4))*100%/(180-FV$4),FW$4&gt;=$C7,($L7-SUM(#REF!))*100%/(180-FV$4))</f>
        <v>#REF!</v>
      </c>
      <c r="FX7" s="32" t="e" cm="1">
        <f t="array" aca="1" ref="FX7" ca="1">_xlfn.IFS(FX$4&lt;$C7,($L7-SUMIFS(#REF!,#REF!,$A7,#REF!,"&lt;="&amp;FW$4))*100%/(180-FW$4),FX$4&gt;=$C7,($L7-SUM(#REF!))*100%/(180-FW$4))</f>
        <v>#REF!</v>
      </c>
      <c r="FY7" s="32" t="e" cm="1">
        <f t="array" aca="1" ref="FY7" ca="1">_xlfn.IFS(FY$4&lt;$C7,($L7-SUMIFS(#REF!,#REF!,$A7,#REF!,"&lt;="&amp;FX$4))*100%/(180-FX$4),FY$4&gt;=$C7,($L7-SUM(#REF!))*100%/(180-FX$4))</f>
        <v>#REF!</v>
      </c>
      <c r="FZ7" s="32" t="e" cm="1">
        <f t="array" aca="1" ref="FZ7" ca="1">_xlfn.IFS(FZ$4&lt;$C7,($L7-SUMIFS(#REF!,#REF!,$A7,#REF!,"&lt;="&amp;FY$4))*100%/(180-FY$4),FZ$4&gt;=$C7,($L7-SUM(#REF!))*100%/(180-FY$4))</f>
        <v>#REF!</v>
      </c>
      <c r="GA7" s="32" t="e" cm="1">
        <f t="array" aca="1" ref="GA7" ca="1">_xlfn.IFS(GA$4&lt;$C7,($L7-SUMIFS(#REF!,#REF!,$A7,#REF!,"&lt;="&amp;FZ$4))*100%/(180-FZ$4),GA$4&gt;=$C7,($L7-SUM(#REF!))*100%/(180-FZ$4))</f>
        <v>#REF!</v>
      </c>
      <c r="GB7" s="32" t="e" cm="1">
        <f t="array" aca="1" ref="GB7" ca="1">_xlfn.IFS(GB$4&lt;$C7,($L7-SUMIFS(#REF!,#REF!,$A7,#REF!,"&lt;="&amp;GA$4))*100%/(180-GA$4),GB$4&gt;=$C7,($L7-SUM(#REF!))*100%/(180-GA$4))</f>
        <v>#REF!</v>
      </c>
      <c r="GC7" s="32" t="e" cm="1">
        <f t="array" aca="1" ref="GC7" ca="1">_xlfn.IFS(GC$4&lt;$C7,($L7-SUMIFS(#REF!,#REF!,$A7,#REF!,"&lt;="&amp;GB$4))*100%/(180-GB$4),GC$4&gt;=$C7,($L7-SUM(#REF!))*100%/(180-GB$4))</f>
        <v>#REF!</v>
      </c>
      <c r="GD7" s="32" t="e" cm="1">
        <f t="array" aca="1" ref="GD7" ca="1">_xlfn.IFS(GD$4&lt;$C7,($L7-SUMIFS(#REF!,#REF!,$A7,#REF!,"&lt;="&amp;GC$4))*100%/(180-GC$4),GD$4&gt;=$C7,($L7-SUM(#REF!))*100%/(180-GC$4))</f>
        <v>#REF!</v>
      </c>
      <c r="GE7" s="32" t="e" cm="1">
        <f t="array" aca="1" ref="GE7" ca="1">_xlfn.IFS(GE$4&lt;$C7,($L7-SUMIFS(#REF!,#REF!,$A7,#REF!,"&lt;="&amp;GD$4))*100%/(180-GD$4),GE$4&gt;=$C7,($L7-SUM(#REF!))*100%/(180-GD$4))</f>
        <v>#REF!</v>
      </c>
      <c r="GF7" s="32" t="e" cm="1">
        <f t="array" aca="1" ref="GF7" ca="1">_xlfn.IFS(GF$4&lt;$C7,($L7-SUMIFS(#REF!,#REF!,$A7,#REF!,"&lt;="&amp;GE$4))*100%/(180-GE$4),GF$4&gt;=$C7,($L7-SUM(#REF!))*100%/(180-GE$4))</f>
        <v>#REF!</v>
      </c>
      <c r="GG7" s="32" t="e" cm="1">
        <f t="array" aca="1" ref="GG7" ca="1">_xlfn.IFS(GG$4&lt;$C7,($L7-SUMIFS(#REF!,#REF!,$A7,#REF!,"&lt;="&amp;GF$4))*100%/(180-GF$4),GG$4&gt;=$C7,($L7-SUM(#REF!))*100%/(180-GF$4))</f>
        <v>#REF!</v>
      </c>
      <c r="GH7" s="32" t="e" cm="1">
        <f t="array" aca="1" ref="GH7" ca="1">_xlfn.IFS(GH$4&lt;$C7,($L7-SUMIFS(#REF!,#REF!,$A7,#REF!,"&lt;="&amp;GG$4))*100%/(180-GG$4),GH$4&gt;=$C7,($L7-SUM(#REF!))*100%/(180-GG$4))</f>
        <v>#REF!</v>
      </c>
      <c r="GI7" s="32" t="e" cm="1">
        <f t="array" aca="1" ref="GI7" ca="1">_xlfn.IFS(GI$4&lt;$C7,($L7-SUMIFS(#REF!,#REF!,$A7,#REF!,"&lt;="&amp;GH$4))*100%/(180-GH$4),GI$4&gt;=$C7,($L7-SUM(#REF!))*100%/(180-GH$4))</f>
        <v>#REF!</v>
      </c>
      <c r="GJ7" s="32" t="e" cm="1">
        <f t="array" aca="1" ref="GJ7" ca="1">_xlfn.IFS(GJ$4&lt;$C7,($L7-SUMIFS(#REF!,#REF!,$A7,#REF!,"&lt;="&amp;GI$4))*100%/(180-GI$4),GJ$4&gt;=$C7,($L7-SUM(#REF!))*100%/(180-GI$4))</f>
        <v>#REF!</v>
      </c>
      <c r="GK7" s="32" t="e" cm="1">
        <f t="array" aca="1" ref="GK7" ca="1">_xlfn.IFS(GK$4&lt;$C7,($L7-SUMIFS(#REF!,#REF!,$A7,#REF!,"&lt;="&amp;GJ$4))*100%/(180-GJ$4),GK$4&gt;=$C7,($L7-SUM(#REF!))*100%/(180-GJ$4))</f>
        <v>#REF!</v>
      </c>
      <c r="GL7" s="32" t="e" cm="1">
        <f t="array" aca="1" ref="GL7" ca="1">_xlfn.IFS(GL$4&lt;$C7,($L7-SUMIFS(#REF!,#REF!,$A7,#REF!,"&lt;="&amp;GK$4))*100%/(180-GK$4),GL$4&gt;=$C7,($L7-SUM(#REF!))*100%/(180-GK$4))</f>
        <v>#REF!</v>
      </c>
      <c r="GM7" s="32" t="e" cm="1">
        <f t="array" aca="1" ref="GM7" ca="1">_xlfn.IFS(GM$4&lt;$C7,($L7-SUMIFS(#REF!,#REF!,$A7,#REF!,"&lt;="&amp;GL$4))*100%/(180-GL$4),GM$4&gt;=$C7,($L7-SUM(#REF!))*100%/(180-GL$4))</f>
        <v>#REF!</v>
      </c>
    </row>
    <row r="8" spans="1:195" s="23" customFormat="1" x14ac:dyDescent="0.25">
      <c r="A8" s="26" t="s">
        <v>18</v>
      </c>
      <c r="B8" s="33">
        <v>46134</v>
      </c>
      <c r="C8" s="34">
        <f t="shared" ca="1" si="0"/>
        <v>65</v>
      </c>
      <c r="D8" s="26" t="str" cm="1">
        <f t="array" ref="D8" ca="1">_xlfn.IFS(AND(TODAY()-B8&lt;=30,TODAY()-B8&gt;=0),"新品期",AND(TODAY()-B8&gt;=31,TODAY()-B8&lt;=120),"热销期",AND(TODAY()-B8&gt;=121,TODAY()-B8&lt;=180),"清货期",TODAY()-B8&gt;180,"滞销")</f>
        <v>热销期</v>
      </c>
      <c r="E8" s="34">
        <f t="shared" si="1"/>
        <v>2366</v>
      </c>
      <c r="F8" s="26"/>
      <c r="G8" s="26">
        <f>SUMIF([1]销售表!I:I,A8,[1]销售表!J:J)</f>
        <v>634</v>
      </c>
      <c r="H8" s="28">
        <f t="shared" si="2"/>
        <v>0.21133333333333301</v>
      </c>
      <c r="I8" s="26"/>
      <c r="J8" s="26">
        <f>SUMIFS([1]销售表!J:J,[1]销售表!I:I,A8,[1]销售表!E:E,"可取")</f>
        <v>82</v>
      </c>
      <c r="K8" s="26"/>
      <c r="L8" s="34">
        <v>3000</v>
      </c>
      <c r="M8" s="29"/>
      <c r="N8" s="29"/>
      <c r="O8" s="20" t="s">
        <v>23</v>
      </c>
      <c r="P8" s="21">
        <f t="shared" ref="P8:AS8" si="8">$L8*80%/180</f>
        <v>13.3333333333333</v>
      </c>
      <c r="Q8" s="21">
        <f t="shared" si="8"/>
        <v>13.3333333333333</v>
      </c>
      <c r="R8" s="21">
        <f t="shared" si="8"/>
        <v>13.3333333333333</v>
      </c>
      <c r="S8" s="21">
        <f t="shared" si="8"/>
        <v>13.3333333333333</v>
      </c>
      <c r="T8" s="21">
        <f t="shared" si="8"/>
        <v>13.3333333333333</v>
      </c>
      <c r="U8" s="21">
        <f t="shared" si="8"/>
        <v>13.3333333333333</v>
      </c>
      <c r="V8" s="21">
        <f t="shared" si="8"/>
        <v>13.3333333333333</v>
      </c>
      <c r="W8" s="21">
        <f t="shared" si="8"/>
        <v>13.3333333333333</v>
      </c>
      <c r="X8" s="21">
        <f t="shared" si="8"/>
        <v>13.3333333333333</v>
      </c>
      <c r="Y8" s="21">
        <f t="shared" si="8"/>
        <v>13.3333333333333</v>
      </c>
      <c r="Z8" s="21">
        <f t="shared" si="8"/>
        <v>13.3333333333333</v>
      </c>
      <c r="AA8" s="21">
        <f t="shared" si="8"/>
        <v>13.3333333333333</v>
      </c>
      <c r="AB8" s="21">
        <f t="shared" si="8"/>
        <v>13.3333333333333</v>
      </c>
      <c r="AC8" s="21">
        <f t="shared" si="8"/>
        <v>13.3333333333333</v>
      </c>
      <c r="AD8" s="21">
        <f t="shared" si="8"/>
        <v>13.3333333333333</v>
      </c>
      <c r="AE8" s="21">
        <f t="shared" si="8"/>
        <v>13.3333333333333</v>
      </c>
      <c r="AF8" s="21">
        <f t="shared" si="8"/>
        <v>13.3333333333333</v>
      </c>
      <c r="AG8" s="21">
        <f t="shared" si="8"/>
        <v>13.3333333333333</v>
      </c>
      <c r="AH8" s="21">
        <f t="shared" si="8"/>
        <v>13.3333333333333</v>
      </c>
      <c r="AI8" s="21">
        <f t="shared" si="8"/>
        <v>13.3333333333333</v>
      </c>
      <c r="AJ8" s="21">
        <f t="shared" si="8"/>
        <v>13.3333333333333</v>
      </c>
      <c r="AK8" s="21">
        <f t="shared" si="8"/>
        <v>13.3333333333333</v>
      </c>
      <c r="AL8" s="21">
        <f t="shared" si="8"/>
        <v>13.3333333333333</v>
      </c>
      <c r="AM8" s="21">
        <f t="shared" si="8"/>
        <v>13.3333333333333</v>
      </c>
      <c r="AN8" s="21">
        <f t="shared" si="8"/>
        <v>13.3333333333333</v>
      </c>
      <c r="AO8" s="21">
        <f t="shared" si="8"/>
        <v>13.3333333333333</v>
      </c>
      <c r="AP8" s="21">
        <f t="shared" si="8"/>
        <v>13.3333333333333</v>
      </c>
      <c r="AQ8" s="21">
        <f t="shared" si="8"/>
        <v>13.3333333333333</v>
      </c>
      <c r="AR8" s="21">
        <f t="shared" si="8"/>
        <v>13.3333333333333</v>
      </c>
      <c r="AS8" s="21">
        <f t="shared" si="8"/>
        <v>13.3333333333333</v>
      </c>
      <c r="AT8" s="21">
        <f t="shared" ref="AT8:DE8" si="9">$L8*110%/180</f>
        <v>18.3333333333333</v>
      </c>
      <c r="AU8" s="21">
        <f t="shared" si="9"/>
        <v>18.3333333333333</v>
      </c>
      <c r="AV8" s="21">
        <f t="shared" si="9"/>
        <v>18.3333333333333</v>
      </c>
      <c r="AW8" s="21">
        <f t="shared" si="9"/>
        <v>18.3333333333333</v>
      </c>
      <c r="AX8" s="21">
        <f t="shared" si="9"/>
        <v>18.3333333333333</v>
      </c>
      <c r="AY8" s="21">
        <f t="shared" si="9"/>
        <v>18.3333333333333</v>
      </c>
      <c r="AZ8" s="21">
        <f t="shared" si="9"/>
        <v>18.3333333333333</v>
      </c>
      <c r="BA8" s="21">
        <f t="shared" si="9"/>
        <v>18.3333333333333</v>
      </c>
      <c r="BB8" s="21">
        <f t="shared" si="9"/>
        <v>18.3333333333333</v>
      </c>
      <c r="BC8" s="21">
        <f t="shared" si="9"/>
        <v>18.3333333333333</v>
      </c>
      <c r="BD8" s="21">
        <f t="shared" si="9"/>
        <v>18.3333333333333</v>
      </c>
      <c r="BE8" s="21">
        <f t="shared" si="9"/>
        <v>18.3333333333333</v>
      </c>
      <c r="BF8" s="21">
        <f t="shared" si="9"/>
        <v>18.3333333333333</v>
      </c>
      <c r="BG8" s="21">
        <f t="shared" si="9"/>
        <v>18.3333333333333</v>
      </c>
      <c r="BH8" s="21">
        <f t="shared" si="9"/>
        <v>18.3333333333333</v>
      </c>
      <c r="BI8" s="21">
        <f t="shared" si="9"/>
        <v>18.3333333333333</v>
      </c>
      <c r="BJ8" s="21">
        <f t="shared" si="9"/>
        <v>18.3333333333333</v>
      </c>
      <c r="BK8" s="21">
        <f t="shared" si="9"/>
        <v>18.3333333333333</v>
      </c>
      <c r="BL8" s="21">
        <f t="shared" si="9"/>
        <v>18.3333333333333</v>
      </c>
      <c r="BM8" s="21">
        <f t="shared" si="9"/>
        <v>18.3333333333333</v>
      </c>
      <c r="BN8" s="21">
        <f t="shared" si="9"/>
        <v>18.3333333333333</v>
      </c>
      <c r="BO8" s="21">
        <f t="shared" si="9"/>
        <v>18.3333333333333</v>
      </c>
      <c r="BP8" s="21">
        <f t="shared" si="9"/>
        <v>18.3333333333333</v>
      </c>
      <c r="BQ8" s="21">
        <f t="shared" si="9"/>
        <v>18.3333333333333</v>
      </c>
      <c r="BR8" s="21">
        <f t="shared" si="9"/>
        <v>18.3333333333333</v>
      </c>
      <c r="BS8" s="21">
        <f t="shared" si="9"/>
        <v>18.3333333333333</v>
      </c>
      <c r="BT8" s="21">
        <f t="shared" si="9"/>
        <v>18.3333333333333</v>
      </c>
      <c r="BU8" s="21">
        <f t="shared" si="9"/>
        <v>18.3333333333333</v>
      </c>
      <c r="BV8" s="21">
        <f t="shared" si="9"/>
        <v>18.3333333333333</v>
      </c>
      <c r="BW8" s="21">
        <f t="shared" si="9"/>
        <v>18.3333333333333</v>
      </c>
      <c r="BX8" s="21">
        <f t="shared" si="9"/>
        <v>18.3333333333333</v>
      </c>
      <c r="BY8" s="21">
        <f t="shared" si="9"/>
        <v>18.3333333333333</v>
      </c>
      <c r="BZ8" s="21">
        <f t="shared" si="9"/>
        <v>18.3333333333333</v>
      </c>
      <c r="CA8" s="21">
        <f t="shared" si="9"/>
        <v>18.3333333333333</v>
      </c>
      <c r="CB8" s="21">
        <f t="shared" si="9"/>
        <v>18.3333333333333</v>
      </c>
      <c r="CC8" s="21">
        <f t="shared" si="9"/>
        <v>18.3333333333333</v>
      </c>
      <c r="CD8" s="21">
        <f t="shared" si="9"/>
        <v>18.3333333333333</v>
      </c>
      <c r="CE8" s="21">
        <f t="shared" si="9"/>
        <v>18.3333333333333</v>
      </c>
      <c r="CF8" s="21">
        <f t="shared" si="9"/>
        <v>18.3333333333333</v>
      </c>
      <c r="CG8" s="21">
        <f t="shared" si="9"/>
        <v>18.3333333333333</v>
      </c>
      <c r="CH8" s="21">
        <f t="shared" si="9"/>
        <v>18.3333333333333</v>
      </c>
      <c r="CI8" s="21">
        <f t="shared" si="9"/>
        <v>18.3333333333333</v>
      </c>
      <c r="CJ8" s="21">
        <f t="shared" si="9"/>
        <v>18.3333333333333</v>
      </c>
      <c r="CK8" s="21">
        <f t="shared" si="9"/>
        <v>18.3333333333333</v>
      </c>
      <c r="CL8" s="21">
        <f t="shared" si="9"/>
        <v>18.3333333333333</v>
      </c>
      <c r="CM8" s="21">
        <f t="shared" si="9"/>
        <v>18.3333333333333</v>
      </c>
      <c r="CN8" s="21">
        <f t="shared" si="9"/>
        <v>18.3333333333333</v>
      </c>
      <c r="CO8" s="21">
        <f t="shared" si="9"/>
        <v>18.3333333333333</v>
      </c>
      <c r="CP8" s="21">
        <f t="shared" si="9"/>
        <v>18.3333333333333</v>
      </c>
      <c r="CQ8" s="21">
        <f t="shared" si="9"/>
        <v>18.3333333333333</v>
      </c>
      <c r="CR8" s="21">
        <f t="shared" si="9"/>
        <v>18.3333333333333</v>
      </c>
      <c r="CS8" s="21">
        <f t="shared" si="9"/>
        <v>18.3333333333333</v>
      </c>
      <c r="CT8" s="21">
        <f t="shared" si="9"/>
        <v>18.3333333333333</v>
      </c>
      <c r="CU8" s="21">
        <f t="shared" si="9"/>
        <v>18.3333333333333</v>
      </c>
      <c r="CV8" s="21">
        <f t="shared" si="9"/>
        <v>18.3333333333333</v>
      </c>
      <c r="CW8" s="21">
        <f t="shared" si="9"/>
        <v>18.3333333333333</v>
      </c>
      <c r="CX8" s="21">
        <f t="shared" si="9"/>
        <v>18.3333333333333</v>
      </c>
      <c r="CY8" s="21">
        <f t="shared" si="9"/>
        <v>18.3333333333333</v>
      </c>
      <c r="CZ8" s="21">
        <f t="shared" si="9"/>
        <v>18.3333333333333</v>
      </c>
      <c r="DA8" s="21">
        <f t="shared" si="9"/>
        <v>18.3333333333333</v>
      </c>
      <c r="DB8" s="21">
        <f t="shared" si="9"/>
        <v>18.3333333333333</v>
      </c>
      <c r="DC8" s="21">
        <f t="shared" si="9"/>
        <v>18.3333333333333</v>
      </c>
      <c r="DD8" s="21">
        <f t="shared" si="9"/>
        <v>18.3333333333333</v>
      </c>
      <c r="DE8" s="21">
        <f t="shared" si="9"/>
        <v>18.3333333333333</v>
      </c>
      <c r="DF8" s="21">
        <f t="shared" ref="DF8:EE8" si="10">$L8*110%/180</f>
        <v>18.3333333333333</v>
      </c>
      <c r="DG8" s="21">
        <f t="shared" si="10"/>
        <v>18.3333333333333</v>
      </c>
      <c r="DH8" s="21">
        <f t="shared" si="10"/>
        <v>18.3333333333333</v>
      </c>
      <c r="DI8" s="21">
        <f t="shared" si="10"/>
        <v>18.3333333333333</v>
      </c>
      <c r="DJ8" s="21">
        <f t="shared" si="10"/>
        <v>18.3333333333333</v>
      </c>
      <c r="DK8" s="21">
        <f t="shared" si="10"/>
        <v>18.3333333333333</v>
      </c>
      <c r="DL8" s="21">
        <f t="shared" si="10"/>
        <v>18.3333333333333</v>
      </c>
      <c r="DM8" s="21">
        <f t="shared" si="10"/>
        <v>18.3333333333333</v>
      </c>
      <c r="DN8" s="21">
        <f t="shared" si="10"/>
        <v>18.3333333333333</v>
      </c>
      <c r="DO8" s="21">
        <f t="shared" si="10"/>
        <v>18.3333333333333</v>
      </c>
      <c r="DP8" s="21">
        <f t="shared" si="10"/>
        <v>18.3333333333333</v>
      </c>
      <c r="DQ8" s="21">
        <f t="shared" si="10"/>
        <v>18.3333333333333</v>
      </c>
      <c r="DR8" s="21">
        <f t="shared" si="10"/>
        <v>18.3333333333333</v>
      </c>
      <c r="DS8" s="21">
        <f t="shared" si="10"/>
        <v>18.3333333333333</v>
      </c>
      <c r="DT8" s="21">
        <f t="shared" si="10"/>
        <v>18.3333333333333</v>
      </c>
      <c r="DU8" s="21">
        <f t="shared" si="10"/>
        <v>18.3333333333333</v>
      </c>
      <c r="DV8" s="21">
        <f t="shared" si="10"/>
        <v>18.3333333333333</v>
      </c>
      <c r="DW8" s="21">
        <f t="shared" si="10"/>
        <v>18.3333333333333</v>
      </c>
      <c r="DX8" s="21">
        <f t="shared" si="10"/>
        <v>18.3333333333333</v>
      </c>
      <c r="DY8" s="21">
        <f t="shared" si="10"/>
        <v>18.3333333333333</v>
      </c>
      <c r="DZ8" s="21">
        <f t="shared" si="10"/>
        <v>18.3333333333333</v>
      </c>
      <c r="EA8" s="21">
        <f t="shared" si="10"/>
        <v>18.3333333333333</v>
      </c>
      <c r="EB8" s="21">
        <f t="shared" si="10"/>
        <v>18.3333333333333</v>
      </c>
      <c r="EC8" s="21">
        <f t="shared" si="10"/>
        <v>18.3333333333333</v>
      </c>
      <c r="ED8" s="21">
        <f t="shared" si="10"/>
        <v>18.3333333333333</v>
      </c>
      <c r="EE8" s="21">
        <f t="shared" si="10"/>
        <v>18.3333333333333</v>
      </c>
      <c r="EF8" s="21">
        <f t="shared" ref="EF8:GM8" si="11">$L8*100%/180</f>
        <v>16.6666666666667</v>
      </c>
      <c r="EG8" s="21">
        <f t="shared" si="11"/>
        <v>16.6666666666667</v>
      </c>
      <c r="EH8" s="21">
        <f t="shared" si="11"/>
        <v>16.6666666666667</v>
      </c>
      <c r="EI8" s="21">
        <f t="shared" si="11"/>
        <v>16.6666666666667</v>
      </c>
      <c r="EJ8" s="21">
        <f t="shared" si="11"/>
        <v>16.6666666666667</v>
      </c>
      <c r="EK8" s="21">
        <f t="shared" si="11"/>
        <v>16.6666666666667</v>
      </c>
      <c r="EL8" s="21">
        <f t="shared" si="11"/>
        <v>16.6666666666667</v>
      </c>
      <c r="EM8" s="21">
        <f t="shared" si="11"/>
        <v>16.6666666666667</v>
      </c>
      <c r="EN8" s="21">
        <f t="shared" si="11"/>
        <v>16.6666666666667</v>
      </c>
      <c r="EO8" s="21">
        <f t="shared" si="11"/>
        <v>16.6666666666667</v>
      </c>
      <c r="EP8" s="21">
        <f t="shared" si="11"/>
        <v>16.6666666666667</v>
      </c>
      <c r="EQ8" s="21">
        <f t="shared" si="11"/>
        <v>16.6666666666667</v>
      </c>
      <c r="ER8" s="21">
        <f t="shared" si="11"/>
        <v>16.6666666666667</v>
      </c>
      <c r="ES8" s="21">
        <f t="shared" si="11"/>
        <v>16.6666666666667</v>
      </c>
      <c r="ET8" s="21">
        <f t="shared" si="11"/>
        <v>16.6666666666667</v>
      </c>
      <c r="EU8" s="21">
        <f t="shared" si="11"/>
        <v>16.6666666666667</v>
      </c>
      <c r="EV8" s="21">
        <f t="shared" si="11"/>
        <v>16.6666666666667</v>
      </c>
      <c r="EW8" s="21">
        <f t="shared" si="11"/>
        <v>16.6666666666667</v>
      </c>
      <c r="EX8" s="21">
        <f t="shared" si="11"/>
        <v>16.6666666666667</v>
      </c>
      <c r="EY8" s="21">
        <f t="shared" si="11"/>
        <v>16.6666666666667</v>
      </c>
      <c r="EZ8" s="21">
        <f t="shared" si="11"/>
        <v>16.6666666666667</v>
      </c>
      <c r="FA8" s="21">
        <f t="shared" si="11"/>
        <v>16.6666666666667</v>
      </c>
      <c r="FB8" s="21">
        <f t="shared" si="11"/>
        <v>16.6666666666667</v>
      </c>
      <c r="FC8" s="21">
        <f t="shared" si="11"/>
        <v>16.6666666666667</v>
      </c>
      <c r="FD8" s="21">
        <f t="shared" si="11"/>
        <v>16.6666666666667</v>
      </c>
      <c r="FE8" s="21">
        <f t="shared" si="11"/>
        <v>16.6666666666667</v>
      </c>
      <c r="FF8" s="21">
        <f t="shared" si="11"/>
        <v>16.6666666666667</v>
      </c>
      <c r="FG8" s="21">
        <f t="shared" si="11"/>
        <v>16.6666666666667</v>
      </c>
      <c r="FH8" s="21">
        <f t="shared" si="11"/>
        <v>16.6666666666667</v>
      </c>
      <c r="FI8" s="21">
        <f t="shared" si="11"/>
        <v>16.6666666666667</v>
      </c>
      <c r="FJ8" s="21">
        <f t="shared" si="11"/>
        <v>16.6666666666667</v>
      </c>
      <c r="FK8" s="21">
        <f t="shared" si="11"/>
        <v>16.6666666666667</v>
      </c>
      <c r="FL8" s="21">
        <f t="shared" si="11"/>
        <v>16.6666666666667</v>
      </c>
      <c r="FM8" s="21">
        <f t="shared" si="11"/>
        <v>16.6666666666667</v>
      </c>
      <c r="FN8" s="21">
        <f t="shared" si="11"/>
        <v>16.6666666666667</v>
      </c>
      <c r="FO8" s="21">
        <f t="shared" si="11"/>
        <v>16.6666666666667</v>
      </c>
      <c r="FP8" s="21">
        <f t="shared" si="11"/>
        <v>16.6666666666667</v>
      </c>
      <c r="FQ8" s="21">
        <f t="shared" si="11"/>
        <v>16.6666666666667</v>
      </c>
      <c r="FR8" s="21">
        <f t="shared" si="11"/>
        <v>16.6666666666667</v>
      </c>
      <c r="FS8" s="21">
        <f t="shared" si="11"/>
        <v>16.6666666666667</v>
      </c>
      <c r="FT8" s="21">
        <f t="shared" si="11"/>
        <v>16.6666666666667</v>
      </c>
      <c r="FU8" s="21">
        <f t="shared" si="11"/>
        <v>16.6666666666667</v>
      </c>
      <c r="FV8" s="21">
        <f t="shared" si="11"/>
        <v>16.6666666666667</v>
      </c>
      <c r="FW8" s="21">
        <f t="shared" si="11"/>
        <v>16.6666666666667</v>
      </c>
      <c r="FX8" s="21">
        <f t="shared" si="11"/>
        <v>16.6666666666667</v>
      </c>
      <c r="FY8" s="21">
        <f t="shared" si="11"/>
        <v>16.6666666666667</v>
      </c>
      <c r="FZ8" s="21">
        <f t="shared" si="11"/>
        <v>16.6666666666667</v>
      </c>
      <c r="GA8" s="21">
        <f t="shared" si="11"/>
        <v>16.6666666666667</v>
      </c>
      <c r="GB8" s="21">
        <f t="shared" si="11"/>
        <v>16.6666666666667</v>
      </c>
      <c r="GC8" s="21">
        <f t="shared" si="11"/>
        <v>16.6666666666667</v>
      </c>
      <c r="GD8" s="21">
        <f t="shared" si="11"/>
        <v>16.6666666666667</v>
      </c>
      <c r="GE8" s="21">
        <f t="shared" si="11"/>
        <v>16.6666666666667</v>
      </c>
      <c r="GF8" s="21">
        <f t="shared" si="11"/>
        <v>16.6666666666667</v>
      </c>
      <c r="GG8" s="21">
        <f t="shared" si="11"/>
        <v>16.6666666666667</v>
      </c>
      <c r="GH8" s="21">
        <f t="shared" si="11"/>
        <v>16.6666666666667</v>
      </c>
      <c r="GI8" s="21">
        <f t="shared" si="11"/>
        <v>16.6666666666667</v>
      </c>
      <c r="GJ8" s="21">
        <f t="shared" si="11"/>
        <v>16.6666666666667</v>
      </c>
      <c r="GK8" s="21">
        <f t="shared" si="11"/>
        <v>16.6666666666667</v>
      </c>
      <c r="GL8" s="21">
        <f t="shared" si="11"/>
        <v>16.6666666666667</v>
      </c>
      <c r="GM8" s="21">
        <f t="shared" si="11"/>
        <v>16.6666666666667</v>
      </c>
    </row>
    <row r="9" spans="1:195" x14ac:dyDescent="0.25">
      <c r="A9" s="8" t="s">
        <v>18</v>
      </c>
      <c r="B9" s="19">
        <v>46134</v>
      </c>
      <c r="C9" s="8">
        <f t="shared" ca="1" si="0"/>
        <v>65</v>
      </c>
      <c r="D9" s="8" t="str" cm="1">
        <f t="array" ref="D9" ca="1">_xlfn.IFS(AND(TODAY()-B9&lt;=30,TODAY()-B9&gt;=0),"新品期",AND(TODAY()-B9&gt;=31,TODAY()-B9&lt;=120),"热销期",AND(TODAY()-B9&gt;=121,TODAY()-B9&lt;=180),"清货期",TODAY()-B9&gt;180,"滞销")</f>
        <v>热销期</v>
      </c>
      <c r="E9" s="8">
        <f t="shared" si="1"/>
        <v>2366</v>
      </c>
      <c r="F9" s="8"/>
      <c r="G9" s="8">
        <f>SUMIF([1]销售表!I:I,A9,[1]销售表!J:J)</f>
        <v>634</v>
      </c>
      <c r="H9" s="9">
        <f t="shared" si="2"/>
        <v>0.21133333333333301</v>
      </c>
      <c r="I9" s="8"/>
      <c r="J9" s="8">
        <f>SUMIFS([1]销售表!J:J,[1]销售表!I:I,A9,[1]销售表!E:E,"可取")</f>
        <v>61</v>
      </c>
      <c r="K9" s="8"/>
      <c r="L9" s="8">
        <v>3000</v>
      </c>
      <c r="M9" s="10">
        <f>_xlfn.XLOOKUP(A9,[1]销售表!I:I,[1]销售表!J:J,0,0,-1)</f>
        <v>15</v>
      </c>
      <c r="N9" s="10" t="e" cm="1">
        <f t="array" ref="N9" ca="1">IF(C9&gt;180,"0",INDEX(P9:GM9,C9))</f>
        <v>#REF!</v>
      </c>
      <c r="O9" s="20" t="s">
        <v>24</v>
      </c>
      <c r="P9" s="21" t="e">
        <f>SUMIFS(#REF!,#REF!,$A9,#REF!,$P$4)</f>
        <v>#REF!</v>
      </c>
      <c r="Q9" s="21" t="e">
        <f ca="1">IF($C9&gt;Q$4,SUMIFS(#REF!,#REF!,$A9,#REF!,Q$4),($L9-SUM($P9))*80%/(180-P$4))</f>
        <v>#REF!</v>
      </c>
      <c r="R9" s="21" t="e">
        <f ca="1">IF($C9&gt;R$4,SUMIFS(#REF!,#REF!,$A9,#REF!,R$4),($L9-SUM($P9:Q9))*80%/(180-Q$4))</f>
        <v>#REF!</v>
      </c>
      <c r="S9" s="21" t="e">
        <f ca="1">IF($C9&gt;S$4,SUMIFS(#REF!,#REF!,$A9,#REF!,S$4),($L9-SUM($P9:R9))*80%/(180-R$4))</f>
        <v>#REF!</v>
      </c>
      <c r="T9" s="21" t="e">
        <f ca="1">IF($C9&gt;T$4,SUMIFS(#REF!,#REF!,$A9,#REF!,T$4),($L9-SUM($P9:S9))*80%/(180-S$4))</f>
        <v>#REF!</v>
      </c>
      <c r="U9" s="21" t="e">
        <f ca="1">IF($C9&gt;U$4,SUMIFS(#REF!,#REF!,$A9,#REF!,U$4),($L9-SUM($P9:T9))*80%/(180-T$4))</f>
        <v>#REF!</v>
      </c>
      <c r="V9" s="21" t="e">
        <f ca="1">IF($C9&gt;V$4,SUMIFS(#REF!,#REF!,$A9,#REF!,V$4),($L9-SUM($P9:U9))*80%/(180-U$4))</f>
        <v>#REF!</v>
      </c>
      <c r="W9" s="21" t="e">
        <f ca="1">IF($C9&gt;W$4,SUMIFS(#REF!,#REF!,$A9,#REF!,W$4),($L9-SUM($P9:V9))*80%/(180-V$4))</f>
        <v>#REF!</v>
      </c>
      <c r="X9" s="21" t="e">
        <f ca="1">IF($C9&gt;X$4,SUMIFS(#REF!,#REF!,$A9,#REF!,X$4),($L9-SUM($P9:W9))*80%/(180-W$4))</f>
        <v>#REF!</v>
      </c>
      <c r="Y9" s="21" t="e">
        <f ca="1">IF($C9&gt;Y$4,SUMIFS(#REF!,#REF!,$A9,#REF!,Y$4),($L9-SUM($P9:X9))*80%/(180-X$4))</f>
        <v>#REF!</v>
      </c>
      <c r="Z9" s="21" t="e">
        <f ca="1">IF($C9&gt;Z$4,SUMIFS(#REF!,#REF!,$A9,#REF!,Z$4),($L9-SUM($P9:Y9))*80%/(180-Y$4))</f>
        <v>#REF!</v>
      </c>
      <c r="AA9" s="21" t="e">
        <f ca="1">IF($C9&gt;AA$4,SUMIFS(#REF!,#REF!,$A9,#REF!,AA$4),($L9-SUM($P9:Z9))*80%/(180-Z$4))</f>
        <v>#REF!</v>
      </c>
      <c r="AB9" s="21" t="e">
        <f ca="1">IF($C9&gt;AB$4,SUMIFS(#REF!,#REF!,$A9,#REF!,AB$4),($L9-SUM($P9:AA9))*80%/(180-AA$4))</f>
        <v>#REF!</v>
      </c>
      <c r="AC9" s="21" t="e">
        <f ca="1">IF($C9&gt;AC$4,SUMIFS(#REF!,#REF!,$A9,#REF!,AC$4),($L9-SUM($P9:AB9))*80%/(180-AB$4))</f>
        <v>#REF!</v>
      </c>
      <c r="AD9" s="21" t="e">
        <f ca="1">IF($C9&gt;AD$4,SUMIFS(#REF!,#REF!,$A9,#REF!,AD$4),($L9-SUM($P9:AC9))*80%/(180-AC$4))</f>
        <v>#REF!</v>
      </c>
      <c r="AE9" s="21" t="e">
        <f ca="1">IF($C9&gt;AE$4,SUMIFS(#REF!,#REF!,$A9,#REF!,AE$4),($L9-SUM($P9:AD9))*80%/(180-AD$4))</f>
        <v>#REF!</v>
      </c>
      <c r="AF9" s="21" t="e">
        <f ca="1">IF($C9&gt;AF$4,SUMIFS(#REF!,#REF!,$A9,#REF!,AF$4),($L9-SUM($P9:AE9))*80%/(180-AE$4))</f>
        <v>#REF!</v>
      </c>
      <c r="AG9" s="21" t="e">
        <f ca="1">IF($C9&gt;AG$4,SUMIFS(#REF!,#REF!,$A9,#REF!,AG$4),($L9-SUM($P9:AF9))*80%/(180-AF$4))</f>
        <v>#REF!</v>
      </c>
      <c r="AH9" s="21" t="e">
        <f ca="1">IF($C9&gt;AH$4,SUMIFS(#REF!,#REF!,$A9,#REF!,AH$4),($L9-SUM($P9:AG9))*80%/(180-AG$4))</f>
        <v>#REF!</v>
      </c>
      <c r="AI9" s="21" t="e">
        <f ca="1">IF($C9&gt;AI$4,SUMIFS(#REF!,#REF!,$A9,#REF!,AI$4),($L9-SUM($P9:AH9))*80%/(180-AH$4))</f>
        <v>#REF!</v>
      </c>
      <c r="AJ9" s="21" t="e">
        <f ca="1">IF($C9&gt;AJ$4,SUMIFS(#REF!,#REF!,$A9,#REF!,AJ$4),($L9-SUM($P9:AI9))*80%/(180-AI$4))</f>
        <v>#REF!</v>
      </c>
      <c r="AK9" s="21" t="e">
        <f ca="1">IF($C9&gt;AK$4,SUMIFS(#REF!,#REF!,$A9,#REF!,AK$4),($L9-SUM($P9:AJ9))*80%/(180-AJ$4))</f>
        <v>#REF!</v>
      </c>
      <c r="AL9" s="21" t="e">
        <f ca="1">IF($C9&gt;AL$4,SUMIFS(#REF!,#REF!,$A9,#REF!,AL$4),($L9-SUM($P9:AK9))*80%/(180-AK$4))</f>
        <v>#REF!</v>
      </c>
      <c r="AM9" s="21" t="e">
        <f ca="1">IF($C9&gt;AM$4,SUMIFS(#REF!,#REF!,$A9,#REF!,AM$4),($L9-SUM($P9:AL9))*80%/(180-AL$4))</f>
        <v>#REF!</v>
      </c>
      <c r="AN9" s="21" t="e">
        <f ca="1">IF($C9&gt;AN$4,SUMIFS(#REF!,#REF!,$A9,#REF!,AN$4),($L9-SUM($P9:AM9))*80%/(180-AM$4))</f>
        <v>#REF!</v>
      </c>
      <c r="AO9" s="21" t="e">
        <f ca="1">IF($C9&gt;AO$4,SUMIFS(#REF!,#REF!,$A9,#REF!,AO$4),($L9-SUM($P9:AN9))*80%/(180-AN$4))</f>
        <v>#REF!</v>
      </c>
      <c r="AP9" s="21" t="e">
        <f ca="1">IF($C9&gt;AP$4,SUMIFS(#REF!,#REF!,$A9,#REF!,AP$4),($L9-SUM($P9:AO9))*80%/(180-AO$4))</f>
        <v>#REF!</v>
      </c>
      <c r="AQ9" s="21" t="e">
        <f ca="1">IF($C9&gt;AQ$4,SUMIFS(#REF!,#REF!,$A9,#REF!,AQ$4),($L9-SUM($P9:AP9))*80%/(180-AP$4))</f>
        <v>#REF!</v>
      </c>
      <c r="AR9" s="21" t="e">
        <f ca="1">IF($C9&gt;AR$4,SUMIFS(#REF!,#REF!,$A9,#REF!,AR$4),($L9-SUM($P9:AQ9))*80%/(180-AQ$4))</f>
        <v>#REF!</v>
      </c>
      <c r="AS9" s="21" t="e">
        <f ca="1">IF($C9&gt;AS$4,SUMIFS(#REF!,#REF!,$A9,#REF!,AS$4),($L9-SUM($P9:AR9))*80%/(180-AR$4))</f>
        <v>#REF!</v>
      </c>
      <c r="AT9" s="21" t="e">
        <f ca="1">IF($C9&gt;AT$4,SUMIFS(#REF!,#REF!,$A9,#REF!,AT$4),($L9-SUM($P9:AS9))*110%/(180-AS$4))</f>
        <v>#REF!</v>
      </c>
      <c r="AU9" s="21" t="e">
        <f ca="1">IF($C9&gt;AU$4,SUMIFS(#REF!,#REF!,$A9,#REF!,AU$4),($L9-SUM($P9:AT9))*110%/(180-AT$4))</f>
        <v>#REF!</v>
      </c>
      <c r="AV9" s="21" t="e">
        <f ca="1">IF($C9&gt;AV$4,SUMIFS(#REF!,#REF!,$A9,#REF!,AV$4),($L9-SUM($P9:AU9))*110%/(180-AU$4))</f>
        <v>#REF!</v>
      </c>
      <c r="AW9" s="21" t="e">
        <f ca="1">IF($C9&gt;AW$4,SUMIFS(#REF!,#REF!,$A9,#REF!,AW$4),($L9-SUM($P9:AV9))*110%/(180-AV$4))</f>
        <v>#REF!</v>
      </c>
      <c r="AX9" s="21" t="e">
        <f ca="1">IF($C9&gt;AX$4,SUMIFS(#REF!,#REF!,$A9,#REF!,AX$4),($L9-SUM($P9:AW9))*110%/(180-AW$4))</f>
        <v>#REF!</v>
      </c>
      <c r="AY9" s="21" t="e">
        <f ca="1">IF($C9&gt;AY$4,SUMIFS(#REF!,#REF!,$A9,#REF!,AY$4),($L9-SUM($P9:AX9))*110%/(180-AX$4))</f>
        <v>#REF!</v>
      </c>
      <c r="AZ9" s="21" t="e">
        <f ca="1">IF($C9&gt;AZ$4,SUMIFS(#REF!,#REF!,$A9,#REF!,AZ$4),($L9-SUM($P9:AY9))*110%/(180-AY$4))</f>
        <v>#REF!</v>
      </c>
      <c r="BA9" s="21" t="e">
        <f ca="1">IF($C9&gt;BA$4,SUMIFS(#REF!,#REF!,$A9,#REF!,BA$4),($L9-SUM($P9:AZ9))*110%/(180-AZ$4))</f>
        <v>#REF!</v>
      </c>
      <c r="BB9" s="21" t="e">
        <f ca="1">IF($C9&gt;BB$4,SUMIFS(#REF!,#REF!,$A9,#REF!,BB$4),($L9-SUM($P9:BA9))*110%/(180-BA$4))</f>
        <v>#REF!</v>
      </c>
      <c r="BC9" s="21" t="e">
        <f ca="1">IF($C9&gt;BC$4,SUMIFS(#REF!,#REF!,$A9,#REF!,BC$4),($L9-SUM($P9:BB9))*110%/(180-BB$4))</f>
        <v>#REF!</v>
      </c>
      <c r="BD9" s="21" t="e">
        <f ca="1">IF($C9&gt;BD$4,SUMIFS(#REF!,#REF!,$A9,#REF!,BD$4),($L9-SUM($P9:BC9))*110%/(180-BC$4))</f>
        <v>#REF!</v>
      </c>
      <c r="BE9" s="21" t="e">
        <f ca="1">IF($C9&gt;BE$4,SUMIFS(#REF!,#REF!,$A9,#REF!,BE$4),($L9-SUM($P9:BD9))*110%/(180-BD$4))</f>
        <v>#REF!</v>
      </c>
      <c r="BF9" s="21" t="e">
        <f ca="1">IF($C9&gt;BF$4,SUMIFS(#REF!,#REF!,$A9,#REF!,BF$4),($L9-SUM($P9:BE9))*110%/(180-BE$4))</f>
        <v>#REF!</v>
      </c>
      <c r="BG9" s="21" t="e">
        <f ca="1">IF($C9&gt;BG$4,SUMIFS(#REF!,#REF!,$A9,#REF!,BG$4),($L9-SUM($P9:BF9))*110%/(180-BF$4))</f>
        <v>#REF!</v>
      </c>
      <c r="BH9" s="21" t="e">
        <f ca="1">IF($C9&gt;BH$4,SUMIFS(#REF!,#REF!,$A9,#REF!,BH$4),($L9-SUM($P9:BG9))*110%/(180-BG$4))</f>
        <v>#REF!</v>
      </c>
      <c r="BI9" s="21" t="e">
        <f ca="1">IF($C9&gt;BI$4,SUMIFS(#REF!,#REF!,$A9,#REF!,BI$4),($L9-SUM($P9:BH9))*110%/(180-BH$4))</f>
        <v>#REF!</v>
      </c>
      <c r="BJ9" s="21" t="e">
        <f ca="1">IF($C9&gt;BJ$4,SUMIFS(#REF!,#REF!,$A9,#REF!,BJ$4),($L9-SUM($P9:BI9))*110%/(180-BI$4))</f>
        <v>#REF!</v>
      </c>
      <c r="BK9" s="21" t="e">
        <f ca="1">IF($C9&gt;BK$4,SUMIFS(#REF!,#REF!,$A9,#REF!,BK$4),($L9-SUM($P9:BJ9))*110%/(180-BJ$4))</f>
        <v>#REF!</v>
      </c>
      <c r="BL9" s="21" t="e">
        <f ca="1">IF($C9&gt;BL$4,SUMIFS(#REF!,#REF!,$A9,#REF!,BL$4),($L9-SUM($P9:BK9))*110%/(180-BK$4))</f>
        <v>#REF!</v>
      </c>
      <c r="BM9" s="21" t="e">
        <f ca="1">IF($C9&gt;BM$4,SUMIFS(#REF!,#REF!,$A9,#REF!,BM$4),($L9-SUM($P9:BL9))*110%/(180-BL$4))</f>
        <v>#REF!</v>
      </c>
      <c r="BN9" s="21" t="e">
        <f ca="1">IF($C9&gt;BN$4,SUMIFS(#REF!,#REF!,$A9,#REF!,BN$4),($L9-SUM($P9:BM9))*110%/(180-BM$4))</f>
        <v>#REF!</v>
      </c>
      <c r="BO9" s="21" t="e">
        <f ca="1">IF($C9&gt;BO$4,SUMIFS(#REF!,#REF!,$A9,#REF!,BO$4),($L9-SUM($P9:BN9))*110%/(180-BN$4))</f>
        <v>#REF!</v>
      </c>
      <c r="BP9" s="21" t="e">
        <f ca="1">IF($C9&gt;BP$4,SUMIFS(#REF!,#REF!,$A9,#REF!,BP$4),($L9-SUM($P9:BO9))*110%/(180-BO$4))</f>
        <v>#REF!</v>
      </c>
      <c r="BQ9" s="21" t="e">
        <f ca="1">IF($C9&gt;BQ$4,SUMIFS(#REF!,#REF!,$A9,#REF!,BQ$4),($L9-SUM($P9:BP9))*110%/(180-BP$4))</f>
        <v>#REF!</v>
      </c>
      <c r="BR9" s="21" t="e">
        <f ca="1">IF($C9&gt;BR$4,SUMIFS(#REF!,#REF!,$A9,#REF!,BR$4),($L9-SUM($P9:BQ9))*110%/(180-BQ$4))</f>
        <v>#REF!</v>
      </c>
      <c r="BS9" s="21" t="e">
        <f ca="1">IF($C9&gt;BS$4,SUMIFS(#REF!,#REF!,$A9,#REF!,BS$4),($L9-SUM($P9:BR9))*110%/(180-BR$4))</f>
        <v>#REF!</v>
      </c>
      <c r="BT9" s="21" t="e">
        <f ca="1">IF($C9&gt;BT$4,SUMIFS(#REF!,#REF!,$A9,#REF!,BT$4),($L9-SUM($P9:BS9))*110%/(180-BS$4))</f>
        <v>#REF!</v>
      </c>
      <c r="BU9" s="21" t="e">
        <f ca="1">IF($C9&gt;BU$4,SUMIFS(#REF!,#REF!,$A9,#REF!,BU$4),($L9-SUM($P9:BT9))*110%/(180-BT$4))</f>
        <v>#REF!</v>
      </c>
      <c r="BV9" s="21" t="e">
        <f ca="1">IF($C9&gt;BV$4,SUMIFS(#REF!,#REF!,$A9,#REF!,BV$4),($L9-SUM($P9:BU9))*110%/(180-BU$4))</f>
        <v>#REF!</v>
      </c>
      <c r="BW9" s="21" t="e">
        <f ca="1">IF($C9&gt;BW$4,SUMIFS(#REF!,#REF!,$A9,#REF!,BW$4),($L9-SUM($P9:BV9))*110%/(180-BV$4))</f>
        <v>#REF!</v>
      </c>
      <c r="BX9" s="21" t="e">
        <f ca="1">IF($C9&gt;BX$4,SUMIFS(#REF!,#REF!,$A9,#REF!,BX$4),($L9-SUM($P9:BW9))*110%/(180-BW$4))</f>
        <v>#REF!</v>
      </c>
      <c r="BY9" s="25" t="e">
        <f ca="1">IF($C9&gt;BY$4,SUMIFS(#REF!,#REF!,$A9,#REF!,BY$4),($L9-SUM($P9:BX9))*110%/(180-BX$4))</f>
        <v>#REF!</v>
      </c>
      <c r="BZ9" s="25" t="e">
        <f ca="1">IF($C9&gt;BZ$4,SUMIFS(#REF!,#REF!,$A9,#REF!,BZ$4),($L9-SUM($P9:BY9))*110%/(180-BY$4))</f>
        <v>#REF!</v>
      </c>
      <c r="CA9" s="25" t="e">
        <f ca="1">IF($C9&gt;CA$4,SUMIFS(#REF!,#REF!,$A9,#REF!,CA$4),($L9-SUM($P9:BZ9))*110%/(180-BZ$4))</f>
        <v>#REF!</v>
      </c>
      <c r="CB9" s="25" t="e">
        <f ca="1">IF($C9&gt;CB$4,SUMIFS(#REF!,#REF!,$A9,#REF!,CB$4),($L9-SUM($P9:CA9))*110%/(180-CA$4))</f>
        <v>#REF!</v>
      </c>
      <c r="CC9" s="25" t="e">
        <f ca="1">IF($C9&gt;CC$4,SUMIFS(#REF!,#REF!,$A9,#REF!,CC$4),($L9-SUM($P9:CB9))*110%/(180-CB$4))</f>
        <v>#REF!</v>
      </c>
      <c r="CD9" s="25" t="e">
        <f ca="1">IF($C9&gt;CD$4,SUMIFS(#REF!,#REF!,$A9,#REF!,CD$4),($L9-SUM($P9:CC9))*110%/(180-CC$4))</f>
        <v>#REF!</v>
      </c>
      <c r="CE9" s="25" t="e">
        <f ca="1">IF($C9&gt;CE$4,SUMIFS(#REF!,#REF!,$A9,#REF!,CE$4),($L9-SUM($P9:CD9))*110%/(180-CD$4))</f>
        <v>#REF!</v>
      </c>
      <c r="CF9" s="25" t="e">
        <f ca="1">IF($C9&gt;CF$4,SUMIFS(#REF!,#REF!,$A9,#REF!,CF$4),($L9-SUM($P9:CE9))*110%/(180-CE$4))</f>
        <v>#REF!</v>
      </c>
      <c r="CG9" s="25" t="e">
        <f ca="1">IF($C9&gt;CG$4,SUMIFS(#REF!,#REF!,$A9,#REF!,CG$4),($L9-SUM($P9:CF9))*110%/(180-CF$4))</f>
        <v>#REF!</v>
      </c>
      <c r="CH9" s="25" t="e">
        <f ca="1">IF($C9&gt;CH$4,SUMIFS(#REF!,#REF!,$A9,#REF!,CH$4),($L9-SUM($P9:CG9))*110%/(180-CG$4))</f>
        <v>#REF!</v>
      </c>
      <c r="CI9" s="25" t="e">
        <f ca="1">IF($C9&gt;CI$4,SUMIFS(#REF!,#REF!,$A9,#REF!,CI$4),($L9-SUM($P9:CH9))*110%/(180-CH$4))</f>
        <v>#REF!</v>
      </c>
      <c r="CJ9" s="25" t="e">
        <f ca="1">IF($C9&gt;CJ$4,SUMIFS(#REF!,#REF!,$A9,#REF!,CJ$4),($L9-SUM($P9:CI9))*110%/(180-CI$4))</f>
        <v>#REF!</v>
      </c>
      <c r="CK9" s="25" t="e">
        <f ca="1">IF($C9&gt;CK$4,SUMIFS(#REF!,#REF!,$A9,#REF!,CK$4),($L9-SUM($P9:CJ9))*110%/(180-CJ$4))</f>
        <v>#REF!</v>
      </c>
      <c r="CL9" s="25" t="e">
        <f ca="1">IF($C9&gt;CL$4,SUMIFS(#REF!,#REF!,$A9,#REF!,CL$4),($L9-SUM($P9:CK9))*110%/(180-CK$4))</f>
        <v>#REF!</v>
      </c>
      <c r="CM9" s="25" t="e">
        <f ca="1">IF($C9&gt;CM$4,SUMIFS(#REF!,#REF!,$A9,#REF!,CM$4),($L9-SUM($P9:CL9))*110%/(180-CL$4))</f>
        <v>#REF!</v>
      </c>
      <c r="CN9" s="25" t="e">
        <f ca="1">IF($C9&gt;CN$4,SUMIFS(#REF!,#REF!,$A9,#REF!,CN$4),($L9-SUM($P9:CM9))*110%/(180-CM$4))</f>
        <v>#REF!</v>
      </c>
      <c r="CO9" s="25" t="e">
        <f ca="1">IF($C9&gt;CO$4,SUMIFS(#REF!,#REF!,$A9,#REF!,CO$4),($L9-SUM($P9:CN9))*110%/(180-CN$4))</f>
        <v>#REF!</v>
      </c>
      <c r="CP9" s="25" t="e">
        <f ca="1">IF($C9&gt;CP$4,SUMIFS(#REF!,#REF!,$A9,#REF!,CP$4),($L9-SUM($P9:CO9))*110%/(180-CO$4))</f>
        <v>#REF!</v>
      </c>
      <c r="CQ9" s="25" t="e">
        <f ca="1">IF($C9&gt;CQ$4,SUMIFS(#REF!,#REF!,$A9,#REF!,CQ$4),($L9-SUM($P9:CP9))*110%/(180-CP$4))</f>
        <v>#REF!</v>
      </c>
      <c r="CR9" s="25" t="e">
        <f ca="1">IF($C9&gt;CR$4,SUMIFS(#REF!,#REF!,$A9,#REF!,CR$4),($L9-SUM($P9:CQ9))*110%/(180-CQ$4))</f>
        <v>#REF!</v>
      </c>
      <c r="CS9" s="25" t="e">
        <f ca="1">IF($C9&gt;CS$4,SUMIFS(#REF!,#REF!,$A9,#REF!,CS$4),($L9-SUM($P9:CR9))*110%/(180-CR$4))</f>
        <v>#REF!</v>
      </c>
      <c r="CT9" s="25" t="e">
        <f ca="1">IF($C9&gt;CT$4,SUMIFS(#REF!,#REF!,$A9,#REF!,CT$4),($L9-SUM($P9:CS9))*110%/(180-CS$4))</f>
        <v>#REF!</v>
      </c>
      <c r="CU9" s="25" t="e">
        <f ca="1">IF($C9&gt;CU$4,SUMIFS(#REF!,#REF!,$A9,#REF!,CU$4),($L9-SUM($P9:CT9))*110%/(180-CT$4))</f>
        <v>#REF!</v>
      </c>
      <c r="CV9" s="25" t="e">
        <f ca="1">IF($C9&gt;CV$4,SUMIFS(#REF!,#REF!,$A9,#REF!,CV$4),($L9-SUM($P9:CU9))*110%/(180-CU$4))</f>
        <v>#REF!</v>
      </c>
      <c r="CW9" s="25" t="e">
        <f ca="1">IF($C9&gt;CW$4,SUMIFS(#REF!,#REF!,$A9,#REF!,CW$4),($L9-SUM($P9:CV9))*110%/(180-CV$4))</f>
        <v>#REF!</v>
      </c>
      <c r="CX9" s="25" t="e">
        <f ca="1">IF($C9&gt;CX$4,SUMIFS(#REF!,#REF!,$A9,#REF!,CX$4),($L9-SUM($P9:CW9))*110%/(180-CW$4))</f>
        <v>#REF!</v>
      </c>
      <c r="CY9" s="25" t="e">
        <f ca="1">IF($C9&gt;CY$4,SUMIFS(#REF!,#REF!,$A9,#REF!,CY$4),($L9-SUM($P9:CX9))*110%/(180-CX$4))</f>
        <v>#REF!</v>
      </c>
      <c r="CZ9" s="25" t="e">
        <f ca="1">IF($C9&gt;CZ$4,SUMIFS(#REF!,#REF!,$A9,#REF!,CZ$4),($L9-SUM($P9:CY9))*110%/(180-CY$4))</f>
        <v>#REF!</v>
      </c>
      <c r="DA9" s="25" t="e">
        <f ca="1">IF($C9&gt;DA$4,SUMIFS(#REF!,#REF!,$A9,#REF!,DA$4),($L9-SUM($P9:CZ9))*110%/(180-CZ$4))</f>
        <v>#REF!</v>
      </c>
      <c r="DB9" s="25" t="e">
        <f ca="1">IF($C9&gt;DB$4,SUMIFS(#REF!,#REF!,$A9,#REF!,DB$4),($L9-SUM($P9:DA9))*110%/(180-DA$4))</f>
        <v>#REF!</v>
      </c>
      <c r="DC9" s="25" t="e">
        <f ca="1">IF($C9&gt;DC$4,SUMIFS(#REF!,#REF!,$A9,#REF!,DC$4),($L9-SUM($P9:DB9))*110%/(180-DB$4))</f>
        <v>#REF!</v>
      </c>
      <c r="DD9" s="25" t="e">
        <f ca="1">IF($C9&gt;DD$4,SUMIFS(#REF!,#REF!,$A9,#REF!,DD$4),($L9-SUM($P9:DC9))*110%/(180-DC$4))</f>
        <v>#REF!</v>
      </c>
      <c r="DE9" s="25" t="e">
        <f ca="1">IF($C9&gt;DE$4,SUMIFS(#REF!,#REF!,$A9,#REF!,DE$4),($L9-SUM($P9:DD9))*110%/(180-DD$4))</f>
        <v>#REF!</v>
      </c>
      <c r="DF9" s="25" t="e">
        <f ca="1">IF($C9&gt;DF$4,SUMIFS(#REF!,#REF!,$A9,#REF!,DF$4),($L9-SUM($P9:DE9))*110%/(180-DE$4))</f>
        <v>#REF!</v>
      </c>
      <c r="DG9" s="25" t="e">
        <f ca="1">IF($C9&gt;DG$4,SUMIFS(#REF!,#REF!,$A9,#REF!,DG$4),($L9-SUM($P9:DF9))*110%/(180-DF$4))</f>
        <v>#REF!</v>
      </c>
      <c r="DH9" s="25" t="e">
        <f ca="1">IF($C9&gt;DH$4,SUMIFS(#REF!,#REF!,$A9,#REF!,DH$4),($L9-SUM($P9:DG9))*110%/(180-DG$4))</f>
        <v>#REF!</v>
      </c>
      <c r="DI9" s="25" t="e">
        <f ca="1">IF($C9&gt;DI$4,SUMIFS(#REF!,#REF!,$A9,#REF!,DI$4),($L9-SUM($P9:DH9))*110%/(180-DH$4))</f>
        <v>#REF!</v>
      </c>
      <c r="DJ9" s="25" t="e">
        <f ca="1">IF($C9&gt;DJ$4,SUMIFS(#REF!,#REF!,$A9,#REF!,DJ$4),($L9-SUM($P9:DI9))*110%/(180-DI$4))</f>
        <v>#REF!</v>
      </c>
      <c r="DK9" s="25" t="e">
        <f ca="1">IF($C9&gt;DK$4,SUMIFS(#REF!,#REF!,$A9,#REF!,DK$4),($L9-SUM($P9:DJ9))*110%/(180-DJ$4))</f>
        <v>#REF!</v>
      </c>
      <c r="DL9" s="25" t="e">
        <f ca="1">IF($C9&gt;DL$4,SUMIFS(#REF!,#REF!,$A9,#REF!,DL$4),($L9-SUM($P9:DK9))*110%/(180-DK$4))</f>
        <v>#REF!</v>
      </c>
      <c r="DM9" s="25" t="e">
        <f ca="1">IF($C9&gt;DM$4,SUMIFS(#REF!,#REF!,$A9,#REF!,DM$4),($L9-SUM($P9:DL9))*110%/(180-DL$4))</f>
        <v>#REF!</v>
      </c>
      <c r="DN9" s="25" t="e">
        <f ca="1">IF($C9&gt;DN$4,SUMIFS(#REF!,#REF!,$A9,#REF!,DN$4),($L9-SUM($P9:DM9))*110%/(180-DM$4))</f>
        <v>#REF!</v>
      </c>
      <c r="DO9" s="25" t="e">
        <f ca="1">IF($C9&gt;DO$4,SUMIFS(#REF!,#REF!,$A9,#REF!,DO$4),($L9-SUM($P9:DN9))*110%/(180-DN$4))</f>
        <v>#REF!</v>
      </c>
      <c r="DP9" s="25" t="e">
        <f ca="1">IF($C9&gt;DP$4,SUMIFS(#REF!,#REF!,$A9,#REF!,DP$4),($L9-SUM($P9:DO9))*110%/(180-DO$4))</f>
        <v>#REF!</v>
      </c>
      <c r="DQ9" s="25" t="e">
        <f ca="1">IF($C9&gt;DQ$4,SUMIFS(#REF!,#REF!,$A9,#REF!,DQ$4),($L9-SUM($P9:DP9))*110%/(180-DP$4))</f>
        <v>#REF!</v>
      </c>
      <c r="DR9" s="25" t="e">
        <f ca="1">IF($C9&gt;DR$4,SUMIFS(#REF!,#REF!,$A9,#REF!,DR$4),($L9-SUM($P9:DQ9))*110%/(180-DQ$4))</f>
        <v>#REF!</v>
      </c>
      <c r="DS9" s="25" t="e">
        <f ca="1">IF($C9&gt;DS$4,SUMIFS(#REF!,#REF!,$A9,#REF!,DS$4),($L9-SUM($P9:DR9))*110%/(180-DR$4))</f>
        <v>#REF!</v>
      </c>
      <c r="DT9" s="25" t="e">
        <f ca="1">IF($C9&gt;DT$4,SUMIFS(#REF!,#REF!,$A9,#REF!,DT$4),($L9-SUM($P9:DS9))*110%/(180-DS$4))</f>
        <v>#REF!</v>
      </c>
      <c r="DU9" s="25" t="e">
        <f ca="1">IF($C9&gt;DU$4,SUMIFS(#REF!,#REF!,$A9,#REF!,DU$4),($L9-SUM($P9:DT9))*110%/(180-DT$4))</f>
        <v>#REF!</v>
      </c>
      <c r="DV9" s="25" t="e">
        <f ca="1">IF($C9&gt;DV$4,SUMIFS(#REF!,#REF!,$A9,#REF!,DV$4),($L9-SUM($P9:DU9))*110%/(180-DU$4))</f>
        <v>#REF!</v>
      </c>
      <c r="DW9" s="25" t="e">
        <f ca="1">IF($C9&gt;DW$4,SUMIFS(#REF!,#REF!,$A9,#REF!,DW$4),($L9-SUM($P9:DV9))*110%/(180-DV$4))</f>
        <v>#REF!</v>
      </c>
      <c r="DX9" s="25" t="e">
        <f ca="1">IF($C9&gt;DX$4,SUMIFS(#REF!,#REF!,$A9,#REF!,DX$4),($L9-SUM($P9:DW9))*110%/(180-DW$4))</f>
        <v>#REF!</v>
      </c>
      <c r="DY9" s="25" t="e">
        <f ca="1">IF($C9&gt;DY$4,SUMIFS(#REF!,#REF!,$A9,#REF!,DY$4),($L9-SUM($P9:DX9))*110%/(180-DX$4))</f>
        <v>#REF!</v>
      </c>
      <c r="DZ9" s="25" t="e">
        <f ca="1">IF($C9&gt;DZ$4,SUMIFS(#REF!,#REF!,$A9,#REF!,DZ$4),($L9-SUM($P9:DY9))*110%/(180-DY$4))</f>
        <v>#REF!</v>
      </c>
      <c r="EA9" s="25" t="e">
        <f ca="1">IF($C9&gt;EA$4,SUMIFS(#REF!,#REF!,$A9,#REF!,EA$4),($L9-SUM($P9:DZ9))*110%/(180-DZ$4))</f>
        <v>#REF!</v>
      </c>
      <c r="EB9" s="25" t="e">
        <f ca="1">IF($C9&gt;EB$4,SUMIFS(#REF!,#REF!,$A9,#REF!,EB$4),($L9-SUM($P9:EA9))*110%/(180-EA$4))</f>
        <v>#REF!</v>
      </c>
      <c r="EC9" s="25" t="e">
        <f ca="1">IF($C9&gt;EC$4,SUMIFS(#REF!,#REF!,$A9,#REF!,EC$4),($L9-SUM($P9:EB9))*110%/(180-EB$4))</f>
        <v>#REF!</v>
      </c>
      <c r="ED9" s="25" t="e">
        <f ca="1">IF($C9&gt;ED$4,SUMIFS(#REF!,#REF!,$A9,#REF!,ED$4),($L9-SUM($P9:EC9))*110%/(180-EC$4))</f>
        <v>#REF!</v>
      </c>
      <c r="EE9" s="25" t="e">
        <f ca="1">IF($C9&gt;EE$4,SUMIFS(#REF!,#REF!,$A9,#REF!,EE$4),($L9-SUM($P9:ED9))*110%/(180-ED$4))</f>
        <v>#REF!</v>
      </c>
      <c r="EF9" s="25" t="e">
        <f ca="1">IF($C9&gt;EF$4,SUMIFS(#REF!,#REF!,$A9,#REF!,EF$4),($L9-SUM($P9:EE9))*100%/(180-EE$4))</f>
        <v>#REF!</v>
      </c>
      <c r="EG9" s="25" t="e">
        <f ca="1">IF($C9&gt;EG$4,SUMIFS(#REF!,#REF!,$A9,#REF!,EG$4),($L9-SUM($P9:EF9))*100%/(180-EF$4))</f>
        <v>#REF!</v>
      </c>
      <c r="EH9" s="25" t="e">
        <f ca="1">IF($C9&gt;EH$4,SUMIFS(#REF!,#REF!,$A9,#REF!,EH$4),($L9-SUM($P9:EG9))*100%/(180-EG$4))</f>
        <v>#REF!</v>
      </c>
      <c r="EI9" s="25" t="e">
        <f ca="1">IF($C9&gt;EI$4,SUMIFS(#REF!,#REF!,$A9,#REF!,EI$4),($L9-SUM($P9:EH9))*100%/(180-EH$4))</f>
        <v>#REF!</v>
      </c>
      <c r="EJ9" s="25" t="e">
        <f ca="1">IF($C9&gt;EJ$4,SUMIFS(#REF!,#REF!,$A9,#REF!,EJ$4),($L9-SUM($P9:EI9))*100%/(180-EI$4))</f>
        <v>#REF!</v>
      </c>
      <c r="EK9" s="25" t="e">
        <f ca="1">IF($C9&gt;EK$4,SUMIFS(#REF!,#REF!,$A9,#REF!,EK$4),($L9-SUM($P9:EJ9))*100%/(180-EJ$4))</f>
        <v>#REF!</v>
      </c>
      <c r="EL9" s="25" t="e">
        <f ca="1">IF($C9&gt;EL$4,SUMIFS(#REF!,#REF!,$A9,#REF!,EL$4),($L9-SUM($P9:EK9))*100%/(180-EK$4))</f>
        <v>#REF!</v>
      </c>
      <c r="EM9" s="25" t="e">
        <f ca="1">IF($C9&gt;EM$4,SUMIFS(#REF!,#REF!,$A9,#REF!,EM$4),($L9-SUM($P9:EL9))*100%/(180-EL$4))</f>
        <v>#REF!</v>
      </c>
      <c r="EN9" s="25" t="e">
        <f ca="1">IF($C9&gt;EN$4,SUMIFS(#REF!,#REF!,$A9,#REF!,EN$4),($L9-SUM($P9:EM9))*100%/(180-EM$4))</f>
        <v>#REF!</v>
      </c>
      <c r="EO9" s="25" t="e">
        <f ca="1">IF($C9&gt;EO$4,SUMIFS(#REF!,#REF!,$A9,#REF!,EO$4),($L9-SUM($P9:EN9))*100%/(180-EN$4))</f>
        <v>#REF!</v>
      </c>
      <c r="EP9" s="25" t="e">
        <f ca="1">IF($C9&gt;EP$4,SUMIFS(#REF!,#REF!,$A9,#REF!,EP$4),($L9-SUM($P9:EO9))*100%/(180-EO$4))</f>
        <v>#REF!</v>
      </c>
      <c r="EQ9" s="25" t="e">
        <f ca="1">IF($C9&gt;EQ$4,SUMIFS(#REF!,#REF!,$A9,#REF!,EQ$4),($L9-SUM($P9:EP9))*100%/(180-EP$4))</f>
        <v>#REF!</v>
      </c>
      <c r="ER9" s="25" t="e">
        <f ca="1">IF($C9&gt;ER$4,SUMIFS(#REF!,#REF!,$A9,#REF!,ER$4),($L9-SUM($P9:EQ9))*100%/(180-EQ$4))</f>
        <v>#REF!</v>
      </c>
      <c r="ES9" s="25" t="e">
        <f ca="1">IF($C9&gt;ES$4,SUMIFS(#REF!,#REF!,$A9,#REF!,ES$4),($L9-SUM($P9:ER9))*100%/(180-ER$4))</f>
        <v>#REF!</v>
      </c>
      <c r="ET9" s="25" t="e">
        <f ca="1">IF($C9&gt;ET$4,SUMIFS(#REF!,#REF!,$A9,#REF!,ET$4),($L9-SUM($P9:ES9))*100%/(180-ES$4))</f>
        <v>#REF!</v>
      </c>
      <c r="EU9" s="25" t="e">
        <f ca="1">IF($C9&gt;EU$4,SUMIFS(#REF!,#REF!,$A9,#REF!,EU$4),($L9-SUM($P9:ET9))*100%/(180-ET$4))</f>
        <v>#REF!</v>
      </c>
      <c r="EV9" s="25" t="e">
        <f ca="1">IF($C9&gt;EV$4,SUMIFS(#REF!,#REF!,$A9,#REF!,EV$4),($L9-SUM($P9:EU9))*100%/(180-EU$4))</f>
        <v>#REF!</v>
      </c>
      <c r="EW9" s="25" t="e">
        <f ca="1">IF($C9&gt;EW$4,SUMIFS(#REF!,#REF!,$A9,#REF!,EW$4),($L9-SUM($P9:EV9))*100%/(180-EV$4))</f>
        <v>#REF!</v>
      </c>
      <c r="EX9" s="25" t="e">
        <f ca="1">IF($C9&gt;EX$4,SUMIFS(#REF!,#REF!,$A9,#REF!,EX$4),($L9-SUM($P9:EW9))*100%/(180-EW$4))</f>
        <v>#REF!</v>
      </c>
      <c r="EY9" s="25" t="e">
        <f ca="1">IF($C9&gt;EY$4,SUMIFS(#REF!,#REF!,$A9,#REF!,EY$4),($L9-SUM($P9:EX9))*100%/(180-EX$4))</f>
        <v>#REF!</v>
      </c>
      <c r="EZ9" s="25" t="e">
        <f ca="1">IF($C9&gt;EZ$4,SUMIFS(#REF!,#REF!,$A9,#REF!,EZ$4),($L9-SUM($P9:EY9))*100%/(180-EY$4))</f>
        <v>#REF!</v>
      </c>
      <c r="FA9" s="25" t="e">
        <f ca="1">IF($C9&gt;FA$4,SUMIFS(#REF!,#REF!,$A9,#REF!,FA$4),($L9-SUM($P9:EZ9))*100%/(180-EZ$4))</f>
        <v>#REF!</v>
      </c>
      <c r="FB9" s="25" t="e">
        <f ca="1">IF($C9&gt;FB$4,SUMIFS(#REF!,#REF!,$A9,#REF!,FB$4),($L9-SUM($P9:FA9))*100%/(180-FA$4))</f>
        <v>#REF!</v>
      </c>
      <c r="FC9" s="25" t="e">
        <f ca="1">IF($C9&gt;FC$4,SUMIFS(#REF!,#REF!,$A9,#REF!,FC$4),($L9-SUM($P9:FB9))*100%/(180-FB$4))</f>
        <v>#REF!</v>
      </c>
      <c r="FD9" s="25" t="e">
        <f ca="1">IF($C9&gt;FD$4,SUMIFS(#REF!,#REF!,$A9,#REF!,FD$4),($L9-SUM($P9:FC9))*100%/(180-FC$4))</f>
        <v>#REF!</v>
      </c>
      <c r="FE9" s="25" t="e">
        <f ca="1">IF($C9&gt;FE$4,SUMIFS(#REF!,#REF!,$A9,#REF!,FE$4),($L9-SUM($P9:FD9))*100%/(180-FD$4))</f>
        <v>#REF!</v>
      </c>
      <c r="FF9" s="25" t="e">
        <f ca="1">IF($C9&gt;FF$4,SUMIFS(#REF!,#REF!,$A9,#REF!,FF$4),($L9-SUM($P9:FE9))*100%/(180-FE$4))</f>
        <v>#REF!</v>
      </c>
      <c r="FG9" s="25" t="e">
        <f ca="1">IF($C9&gt;FG$4,SUMIFS(#REF!,#REF!,$A9,#REF!,FG$4),($L9-SUM($P9:FF9))*100%/(180-FF$4))</f>
        <v>#REF!</v>
      </c>
      <c r="FH9" s="25" t="e">
        <f ca="1">IF($C9&gt;FH$4,SUMIFS(#REF!,#REF!,$A9,#REF!,FH$4),($L9-SUM($P9:FG9))*100%/(180-FG$4))</f>
        <v>#REF!</v>
      </c>
      <c r="FI9" s="25" t="e">
        <f ca="1">IF($C9&gt;FI$4,SUMIFS(#REF!,#REF!,$A9,#REF!,FI$4),($L9-SUM($P9:FH9))*100%/(180-FH$4))</f>
        <v>#REF!</v>
      </c>
      <c r="FJ9" s="25" t="e">
        <f ca="1">IF($C9&gt;FJ$4,SUMIFS(#REF!,#REF!,$A9,#REF!,FJ$4),($L9-SUM($P9:FI9))*100%/(180-FI$4))</f>
        <v>#REF!</v>
      </c>
      <c r="FK9" s="25" t="e">
        <f ca="1">IF($C9&gt;FK$4,SUMIFS(#REF!,#REF!,$A9,#REF!,FK$4),($L9-SUM($P9:FJ9))*100%/(180-FJ$4))</f>
        <v>#REF!</v>
      </c>
      <c r="FL9" s="25" t="e">
        <f ca="1">IF($C9&gt;FL$4,SUMIFS(#REF!,#REF!,$A9,#REF!,FL$4),($L9-SUM($P9:FK9))*100%/(180-FK$4))</f>
        <v>#REF!</v>
      </c>
      <c r="FM9" s="25" t="e">
        <f ca="1">IF($C9&gt;FM$4,SUMIFS(#REF!,#REF!,$A9,#REF!,FM$4),($L9-SUM($P9:FL9))*100%/(180-FL$4))</f>
        <v>#REF!</v>
      </c>
      <c r="FN9" s="25" t="e">
        <f ca="1">IF($C9&gt;FN$4,SUMIFS(#REF!,#REF!,$A9,#REF!,FN$4),($L9-SUM($P9:FM9))*100%/(180-FM$4))</f>
        <v>#REF!</v>
      </c>
      <c r="FO9" s="25" t="e">
        <f ca="1">IF($C9&gt;FO$4,SUMIFS(#REF!,#REF!,$A9,#REF!,FO$4),($L9-SUM($P9:FN9))*100%/(180-FN$4))</f>
        <v>#REF!</v>
      </c>
      <c r="FP9" s="25" t="e">
        <f ca="1">IF($C9&gt;FP$4,SUMIFS(#REF!,#REF!,$A9,#REF!,FP$4),($L9-SUM($P9:FO9))*100%/(180-FO$4))</f>
        <v>#REF!</v>
      </c>
      <c r="FQ9" s="25" t="e">
        <f ca="1">IF($C9&gt;FQ$4,SUMIFS(#REF!,#REF!,$A9,#REF!,FQ$4),($L9-SUM($P9:FP9))*100%/(180-FP$4))</f>
        <v>#REF!</v>
      </c>
      <c r="FR9" s="25" t="e">
        <f ca="1">IF($C9&gt;FR$4,SUMIFS(#REF!,#REF!,$A9,#REF!,FR$4),($L9-SUM($P9:FQ9))*100%/(180-FQ$4))</f>
        <v>#REF!</v>
      </c>
      <c r="FS9" s="25" t="e">
        <f ca="1">IF($C9&gt;FS$4,SUMIFS(#REF!,#REF!,$A9,#REF!,FS$4),($L9-SUM($P9:FR9))*100%/(180-FR$4))</f>
        <v>#REF!</v>
      </c>
      <c r="FT9" s="25" t="e">
        <f ca="1">IF($C9&gt;FT$4,SUMIFS(#REF!,#REF!,$A9,#REF!,FT$4),($L9-SUM($P9:FS9))*100%/(180-FS$4))</f>
        <v>#REF!</v>
      </c>
      <c r="FU9" s="25" t="e">
        <f ca="1">IF($C9&gt;FU$4,SUMIFS(#REF!,#REF!,$A9,#REF!,FU$4),($L9-SUM($P9:FT9))*100%/(180-FT$4))</f>
        <v>#REF!</v>
      </c>
      <c r="FV9" s="25" t="e">
        <f ca="1">IF($C9&gt;FV$4,SUMIFS(#REF!,#REF!,$A9,#REF!,FV$4),($L9-SUM($P9:FU9))*100%/(180-FU$4))</f>
        <v>#REF!</v>
      </c>
      <c r="FW9" s="25" t="e">
        <f ca="1">IF($C9&gt;FW$4,SUMIFS(#REF!,#REF!,$A9,#REF!,FW$4),($L9-SUM($P9:FV9))*100%/(180-FV$4))</f>
        <v>#REF!</v>
      </c>
      <c r="FX9" s="25" t="e">
        <f ca="1">IF($C9&gt;FX$4,SUMIFS(#REF!,#REF!,$A9,#REF!,FX$4),($L9-SUM($P9:FW9))*100%/(180-FW$4))</f>
        <v>#REF!</v>
      </c>
      <c r="FY9" s="25" t="e">
        <f ca="1">IF($C9&gt;FY$4,SUMIFS(#REF!,#REF!,$A9,#REF!,FY$4),($L9-SUM($P9:FX9))*100%/(180-FX$4))</f>
        <v>#REF!</v>
      </c>
      <c r="FZ9" s="25" t="e">
        <f ca="1">IF($C9&gt;FZ$4,SUMIFS(#REF!,#REF!,$A9,#REF!,FZ$4),($L9-SUM($P9:FY9))*100%/(180-FY$4))</f>
        <v>#REF!</v>
      </c>
      <c r="GA9" s="25" t="e">
        <f ca="1">IF($C9&gt;GA$4,SUMIFS(#REF!,#REF!,$A9,#REF!,GA$4),($L9-SUM($P9:FZ9))*100%/(180-FZ$4))</f>
        <v>#REF!</v>
      </c>
      <c r="GB9" s="25" t="e">
        <f ca="1">IF($C9&gt;GB$4,SUMIFS(#REF!,#REF!,$A9,#REF!,GB$4),($L9-SUM($P9:GA9))*100%/(180-GA$4))</f>
        <v>#REF!</v>
      </c>
      <c r="GC9" s="25" t="e">
        <f ca="1">IF($C9&gt;GC$4,SUMIFS(#REF!,#REF!,$A9,#REF!,GC$4),($L9-SUM($P9:GB9))*100%/(180-GB$4))</f>
        <v>#REF!</v>
      </c>
      <c r="GD9" s="25" t="e">
        <f ca="1">IF($C9&gt;GD$4,SUMIFS(#REF!,#REF!,$A9,#REF!,GD$4),($L9-SUM($P9:GC9))*100%/(180-GC$4))</f>
        <v>#REF!</v>
      </c>
      <c r="GE9" s="25" t="e">
        <f ca="1">IF($C9&gt;GE$4,SUMIFS(#REF!,#REF!,$A9,#REF!,GE$4),($L9-SUM($P9:GD9))*100%/(180-GD$4))</f>
        <v>#REF!</v>
      </c>
      <c r="GF9" s="25" t="e">
        <f ca="1">IF($C9&gt;GF$4,SUMIFS(#REF!,#REF!,$A9,#REF!,GF$4),($L9-SUM($P9:GE9))*100%/(180-GE$4))</f>
        <v>#REF!</v>
      </c>
      <c r="GG9" s="25" t="e">
        <f ca="1">IF($C9&gt;GG$4,SUMIFS(#REF!,#REF!,$A9,#REF!,GG$4),($L9-SUM($P9:GF9))*100%/(180-GF$4))</f>
        <v>#REF!</v>
      </c>
      <c r="GH9" s="25" t="e">
        <f ca="1">IF($C9&gt;GH$4,SUMIFS(#REF!,#REF!,$A9,#REF!,GH$4),($L9-SUM($P9:GG9))*100%/(180-GG$4))</f>
        <v>#REF!</v>
      </c>
      <c r="GI9" s="25" t="e">
        <f ca="1">IF($C9&gt;GI$4,SUMIFS(#REF!,#REF!,$A9,#REF!,GI$4),($L9-SUM($P9:GH9))*100%/(180-GH$4))</f>
        <v>#REF!</v>
      </c>
      <c r="GJ9" s="25" t="e">
        <f ca="1">IF($C9&gt;GJ$4,SUMIFS(#REF!,#REF!,$A9,#REF!,GJ$4),($L9-SUM($P9:GI9))*100%/(180-GI$4))</f>
        <v>#REF!</v>
      </c>
      <c r="GK9" s="25" t="e">
        <f ca="1">IF($C9&gt;GK$4,SUMIFS(#REF!,#REF!,$A9,#REF!,GK$4),($L9-SUM($P9:GJ9))*100%/(180-GJ$4))</f>
        <v>#REF!</v>
      </c>
      <c r="GL9" s="25" t="e">
        <f ca="1">IF($C9&gt;GL$4,SUMIFS(#REF!,#REF!,$A9,#REF!,GL$4),($L9-SUM($P9:GK9))*100%/(180-GK$4))</f>
        <v>#REF!</v>
      </c>
      <c r="GM9" s="25" t="e">
        <f ca="1">IF($C9&gt;GM$4,SUMIFS(#REF!,#REF!,$A9,#REF!,GM$4),($L9-SUM($P9:GL9))*100%/(180-GL$4))</f>
        <v>#REF!</v>
      </c>
    </row>
    <row r="10" spans="1:195" ht="28" x14ac:dyDescent="0.25">
      <c r="A10" s="8" t="s">
        <v>18</v>
      </c>
      <c r="B10" s="19">
        <v>46134</v>
      </c>
      <c r="C10" s="8">
        <f t="shared" ca="1" si="0"/>
        <v>65</v>
      </c>
      <c r="D10" s="8" t="str" cm="1">
        <f t="array" ref="D10" ca="1">_xlfn.IFS(AND(TODAY()-B10&lt;=30,TODAY()-B10&gt;=0),"新品期",AND(TODAY()-B10&gt;=31,TODAY()-B10&lt;=120),"热销期",AND(TODAY()-B10&gt;=121,TODAY()-B10&lt;=180),"清货期",TODAY()-B10&gt;180,"滞销")</f>
        <v>热销期</v>
      </c>
      <c r="E10" s="8">
        <f t="shared" si="1"/>
        <v>2366</v>
      </c>
      <c r="F10" s="8"/>
      <c r="G10" s="8">
        <f>SUMIF([1]销售表!I:I,A10,[1]销售表!J:J)</f>
        <v>634</v>
      </c>
      <c r="H10" s="9">
        <f t="shared" si="2"/>
        <v>0.21133333333333301</v>
      </c>
      <c r="I10" s="8"/>
      <c r="J10" s="8">
        <f>SUMIFS([1]销售表!J:J,[1]销售表!I:I,A10,[1]销售表!E:E,"可取")</f>
        <v>61</v>
      </c>
      <c r="K10" s="8"/>
      <c r="L10" s="8">
        <v>3000</v>
      </c>
      <c r="M10" s="10"/>
      <c r="N10" s="10"/>
      <c r="O10" s="30" t="s">
        <v>25</v>
      </c>
      <c r="P10" s="31">
        <f t="shared" si="7"/>
        <v>13.3333333333333</v>
      </c>
      <c r="Q10" s="32" t="e" cm="1">
        <f t="array" aca="1" ref="Q10" ca="1">_xlfn.IFS(Q$4&lt;$C10,($L10-SUMIFS(#REF!,#REF!,$A10,#REF!,"&lt;="&amp;P$4))*80%/(180-P$4),Q$4&gt;=$C10,($L10-SUM(#REF!))*80%/(180-P$4))</f>
        <v>#REF!</v>
      </c>
      <c r="R10" s="32" t="e" cm="1">
        <f t="array" aca="1" ref="R10" ca="1">_xlfn.IFS(R$4&lt;$C10,($L10-SUMIFS(#REF!,#REF!,$A10,#REF!,"&lt;="&amp;Q$4))*80%/(180-Q$4),R$4&gt;=$C10,($L10-SUM(#REF!))*80%/(180-Q$4))</f>
        <v>#REF!</v>
      </c>
      <c r="S10" s="32" t="e" cm="1">
        <f t="array" aca="1" ref="S10" ca="1">_xlfn.IFS(S$4&lt;$C10,($L10-SUMIFS(#REF!,#REF!,$A10,#REF!,"&lt;="&amp;R$4))*80%/(180-R$4),S$4&gt;=$C10,($L10-SUM(#REF!))*80%/(180-R$4))</f>
        <v>#REF!</v>
      </c>
      <c r="T10" s="32" t="e" cm="1">
        <f t="array" aca="1" ref="T10" ca="1">_xlfn.IFS(T$4&lt;$C10,($L10-SUMIFS(#REF!,#REF!,$A10,#REF!,"&lt;="&amp;S$4))*80%/(180-S$4),T$4&gt;=$C10,($L10-SUM(#REF!))*80%/(180-S$4))</f>
        <v>#REF!</v>
      </c>
      <c r="U10" s="32" t="e" cm="1">
        <f t="array" aca="1" ref="U10" ca="1">_xlfn.IFS(U$4&lt;$C10,($L10-SUMIFS(#REF!,#REF!,$A10,#REF!,"&lt;="&amp;T$4))*80%/(180-T$4),U$4&gt;=$C10,($L10-SUM(#REF!))*80%/(180-T$4))</f>
        <v>#REF!</v>
      </c>
      <c r="V10" s="32" t="e" cm="1">
        <f t="array" aca="1" ref="V10" ca="1">_xlfn.IFS(V$4&lt;$C10,($L10-SUMIFS(#REF!,#REF!,$A10,#REF!,"&lt;="&amp;U$4))*80%/(180-U$4),V$4&gt;=$C10,($L10-SUM(#REF!))*80%/(180-U$4))</f>
        <v>#REF!</v>
      </c>
      <c r="W10" s="32" t="e" cm="1">
        <f t="array" aca="1" ref="W10" ca="1">_xlfn.IFS(W$4&lt;$C10,($L10-SUMIFS(#REF!,#REF!,$A10,#REF!,"&lt;="&amp;V$4))*80%/(180-V$4),W$4&gt;=$C10,($L10-SUM(#REF!))*80%/(180-V$4))</f>
        <v>#REF!</v>
      </c>
      <c r="X10" s="32" t="e" cm="1">
        <f t="array" aca="1" ref="X10" ca="1">_xlfn.IFS(X$4&lt;$C10,($L10-SUMIFS(#REF!,#REF!,$A10,#REF!,"&lt;="&amp;W$4))*80%/(180-W$4),X$4&gt;=$C10,($L10-SUM(#REF!))*80%/(180-W$4))</f>
        <v>#REF!</v>
      </c>
      <c r="Y10" s="32" t="e" cm="1">
        <f t="array" aca="1" ref="Y10" ca="1">_xlfn.IFS(Y$4&lt;$C10,($L10-SUMIFS(#REF!,#REF!,$A10,#REF!,"&lt;="&amp;X$4))*80%/(180-X$4),Y$4&gt;=$C10,($L10-SUM(#REF!))*80%/(180-X$4))</f>
        <v>#REF!</v>
      </c>
      <c r="Z10" s="32" t="e" cm="1">
        <f t="array" aca="1" ref="Z10" ca="1">_xlfn.IFS(Z$4&lt;$C10,($L10-SUMIFS(#REF!,#REF!,$A10,#REF!,"&lt;="&amp;Y$4))*80%/(180-Y$4),Z$4&gt;=$C10,($L10-SUM(#REF!))*80%/(180-Y$4))</f>
        <v>#REF!</v>
      </c>
      <c r="AA10" s="32" t="e" cm="1">
        <f t="array" aca="1" ref="AA10" ca="1">_xlfn.IFS(AA$4&lt;$C10,($L10-SUMIFS(#REF!,#REF!,$A10,#REF!,"&lt;="&amp;Z$4))*80%/(180-Z$4),AA$4&gt;=$C10,($L10-SUM(#REF!))*80%/(180-Z$4))</f>
        <v>#REF!</v>
      </c>
      <c r="AB10" s="32" t="e" cm="1">
        <f t="array" aca="1" ref="AB10" ca="1">_xlfn.IFS(AB$4&lt;$C10,($L10-SUMIFS(#REF!,#REF!,$A10,#REF!,"&lt;="&amp;AA$4))*80%/(180-AA$4),AB$4&gt;=$C10,($L10-SUM(#REF!))*80%/(180-AA$4))</f>
        <v>#REF!</v>
      </c>
      <c r="AC10" s="32" t="e" cm="1">
        <f t="array" aca="1" ref="AC10" ca="1">_xlfn.IFS(AC$4&lt;$C10,($L10-SUMIFS(#REF!,#REF!,$A10,#REF!,"&lt;="&amp;AB$4))*80%/(180-AB$4),AC$4&gt;=$C10,($L10-SUM(#REF!))*80%/(180-AB$4))</f>
        <v>#REF!</v>
      </c>
      <c r="AD10" s="32" t="e" cm="1">
        <f t="array" aca="1" ref="AD10" ca="1">_xlfn.IFS(AD$4&lt;$C10,($L10-SUMIFS(#REF!,#REF!,$A10,#REF!,"&lt;="&amp;AC$4))*80%/(180-AC$4),AD$4&gt;=$C10,($L10-SUM(#REF!))*80%/(180-AC$4))</f>
        <v>#REF!</v>
      </c>
      <c r="AE10" s="32" t="e" cm="1">
        <f t="array" aca="1" ref="AE10" ca="1">_xlfn.IFS(AE$4&lt;$C10,($L10-SUMIFS(#REF!,#REF!,$A10,#REF!,"&lt;="&amp;AD$4))*80%/(180-AD$4),AE$4&gt;=$C10,($L10-SUM(#REF!))*80%/(180-AD$4))</f>
        <v>#REF!</v>
      </c>
      <c r="AF10" s="32" t="e" cm="1">
        <f t="array" aca="1" ref="AF10" ca="1">_xlfn.IFS(AF$4&lt;$C10,($L10-SUMIFS(#REF!,#REF!,$A10,#REF!,"&lt;="&amp;AE$4))*80%/(180-AE$4),AF$4&gt;=$C10,($L10-SUM(#REF!))*80%/(180-AE$4))</f>
        <v>#REF!</v>
      </c>
      <c r="AG10" s="32" t="e" cm="1">
        <f t="array" aca="1" ref="AG10" ca="1">_xlfn.IFS(AG$4&lt;$C10,($L10-SUMIFS(#REF!,#REF!,$A10,#REF!,"&lt;="&amp;AF$4))*80%/(180-AF$4),AG$4&gt;=$C10,($L10-SUM(#REF!))*80%/(180-AF$4))</f>
        <v>#REF!</v>
      </c>
      <c r="AH10" s="32" t="e" cm="1">
        <f t="array" aca="1" ref="AH10" ca="1">_xlfn.IFS(AH$4&lt;$C10,($L10-SUMIFS(#REF!,#REF!,$A10,#REF!,"&lt;="&amp;AG$4))*80%/(180-AG$4),AH$4&gt;=$C10,($L10-SUM(#REF!))*80%/(180-AG$4))</f>
        <v>#REF!</v>
      </c>
      <c r="AI10" s="32" t="e" cm="1">
        <f t="array" aca="1" ref="AI10" ca="1">_xlfn.IFS(AI$4&lt;$C10,($L10-SUMIFS(#REF!,#REF!,$A10,#REF!,"&lt;="&amp;AH$4))*80%/(180-AH$4),AI$4&gt;=$C10,($L10-SUM(#REF!))*80%/(180-AH$4))</f>
        <v>#REF!</v>
      </c>
      <c r="AJ10" s="32" t="e" cm="1">
        <f t="array" aca="1" ref="AJ10" ca="1">_xlfn.IFS(AJ$4&lt;$C10,($L10-SUMIFS(#REF!,#REF!,$A10,#REF!,"&lt;="&amp;AI$4))*80%/(180-AI$4),AJ$4&gt;=$C10,($L10-SUM(#REF!))*80%/(180-AI$4))</f>
        <v>#REF!</v>
      </c>
      <c r="AK10" s="32" t="e" cm="1">
        <f t="array" aca="1" ref="AK10" ca="1">_xlfn.IFS(AK$4&lt;$C10,($L10-SUMIFS(#REF!,#REF!,$A10,#REF!,"&lt;="&amp;AJ$4))*80%/(180-AJ$4),AK$4&gt;=$C10,($L10-SUM(#REF!))*80%/(180-AJ$4))</f>
        <v>#REF!</v>
      </c>
      <c r="AL10" s="32" t="e" cm="1">
        <f t="array" aca="1" ref="AL10" ca="1">_xlfn.IFS(AL$4&lt;$C10,($L10-SUMIFS(#REF!,#REF!,$A10,#REF!,"&lt;="&amp;AK$4))*80%/(180-AK$4),AL$4&gt;=$C10,($L10-SUM(#REF!))*80%/(180-AK$4))</f>
        <v>#REF!</v>
      </c>
      <c r="AM10" s="32" t="e" cm="1">
        <f t="array" aca="1" ref="AM10" ca="1">_xlfn.IFS(AM$4&lt;$C10,($L10-SUMIFS(#REF!,#REF!,$A10,#REF!,"&lt;="&amp;AL$4))*80%/(180-AL$4),AM$4&gt;=$C10,($L10-SUM(#REF!))*80%/(180-AL$4))</f>
        <v>#REF!</v>
      </c>
      <c r="AN10" s="32" t="e" cm="1">
        <f t="array" aca="1" ref="AN10" ca="1">_xlfn.IFS(AN$4&lt;$C10,($L10-SUMIFS(#REF!,#REF!,$A10,#REF!,"&lt;="&amp;AM$4))*80%/(180-AM$4),AN$4&gt;=$C10,($L10-SUM(#REF!))*80%/(180-AM$4))</f>
        <v>#REF!</v>
      </c>
      <c r="AO10" s="32" t="e" cm="1">
        <f t="array" aca="1" ref="AO10" ca="1">_xlfn.IFS(AO$4&lt;$C10,($L10-SUMIFS(#REF!,#REF!,$A10,#REF!,"&lt;="&amp;AN$4))*80%/(180-AN$4),AO$4&gt;=$C10,($L10-SUM(#REF!))*80%/(180-AN$4))</f>
        <v>#REF!</v>
      </c>
      <c r="AP10" s="32" t="e" cm="1">
        <f t="array" aca="1" ref="AP10" ca="1">_xlfn.IFS(AP$4&lt;$C10,($L10-SUMIFS(#REF!,#REF!,$A10,#REF!,"&lt;="&amp;AO$4))*80%/(180-AO$4),AP$4&gt;=$C10,($L10-SUM(#REF!))*80%/(180-AO$4))</f>
        <v>#REF!</v>
      </c>
      <c r="AQ10" s="32" t="e" cm="1">
        <f t="array" aca="1" ref="AQ10" ca="1">_xlfn.IFS(AQ$4&lt;$C10,($L10-SUMIFS(#REF!,#REF!,$A10,#REF!,"&lt;="&amp;AP$4))*80%/(180-AP$4),AQ$4&gt;=$C10,($L10-SUM(#REF!))*80%/(180-AP$4))</f>
        <v>#REF!</v>
      </c>
      <c r="AR10" s="32" t="e" cm="1">
        <f t="array" aca="1" ref="AR10" ca="1">_xlfn.IFS(AR$4&lt;$C10,($L10-SUMIFS(#REF!,#REF!,$A10,#REF!,"&lt;="&amp;AQ$4))*80%/(180-AQ$4),AR$4&gt;=$C10,($L10-SUM(#REF!))*80%/(180-AQ$4))</f>
        <v>#REF!</v>
      </c>
      <c r="AS10" s="32" t="e" cm="1">
        <f t="array" aca="1" ref="AS10" ca="1">_xlfn.IFS(AS$4&lt;$C10,($L10-SUMIFS(#REF!,#REF!,$A10,#REF!,"&lt;="&amp;AR$4))*80%/(180-AR$4),AS$4&gt;=$C10,($L10-SUM(#REF!))*80%/(180-AR$4))</f>
        <v>#REF!</v>
      </c>
      <c r="AT10" s="32" t="e" cm="1">
        <f t="array" aca="1" ref="AT10" ca="1">_xlfn.IFS(AT$4&lt;$C10,($L10-SUMIFS(#REF!,#REF!,$A10,#REF!,"&lt;="&amp;AS$4))*110%/(180-AS$4),AT$4&gt;=$C10,($L10-SUM(#REF!))*110%/(180-AS$4))</f>
        <v>#REF!</v>
      </c>
      <c r="AU10" s="32" t="e" cm="1">
        <f t="array" aca="1" ref="AU10" ca="1">_xlfn.IFS(AU$4&lt;$C10,($L10-SUMIFS(#REF!,#REF!,$A10,#REF!,"&lt;="&amp;AT$4))*110%/(180-AT$4),AU$4&gt;=$C10,($L10-SUM(#REF!))*110%/(180-AT$4))</f>
        <v>#REF!</v>
      </c>
      <c r="AV10" s="32" t="e" cm="1">
        <f t="array" aca="1" ref="AV10" ca="1">_xlfn.IFS(AV$4&lt;$C10,($L10-SUMIFS(#REF!,#REF!,$A10,#REF!,"&lt;="&amp;AU$4))*110%/(180-AU$4),AV$4&gt;=$C10,($L10-SUM(#REF!))*110%/(180-AU$4))</f>
        <v>#REF!</v>
      </c>
      <c r="AW10" s="32" t="e" cm="1">
        <f t="array" aca="1" ref="AW10" ca="1">_xlfn.IFS(AW$4&lt;$C10,($L10-SUMIFS(#REF!,#REF!,$A10,#REF!,"&lt;="&amp;AV$4))*110%/(180-AV$4),AW$4&gt;=$C10,($L10-SUM(#REF!))*110%/(180-AV$4))</f>
        <v>#REF!</v>
      </c>
      <c r="AX10" s="32" t="e" cm="1">
        <f t="array" aca="1" ref="AX10" ca="1">_xlfn.IFS(AX$4&lt;$C10,($L10-SUMIFS(#REF!,#REF!,$A10,#REF!,"&lt;="&amp;AW$4))*110%/(180-AW$4),AX$4&gt;=$C10,($L10-SUM(#REF!))*110%/(180-AW$4))</f>
        <v>#REF!</v>
      </c>
      <c r="AY10" s="32" t="e" cm="1">
        <f t="array" aca="1" ref="AY10" ca="1">_xlfn.IFS(AY$4&lt;$C10,($L10-SUMIFS(#REF!,#REF!,$A10,#REF!,"&lt;="&amp;AX$4))*110%/(180-AX$4),AY$4&gt;=$C10,($L10-SUM(#REF!))*110%/(180-AX$4))</f>
        <v>#REF!</v>
      </c>
      <c r="AZ10" s="32" t="e" cm="1">
        <f t="array" aca="1" ref="AZ10" ca="1">_xlfn.IFS(AZ$4&lt;$C10,($L10-SUMIFS(#REF!,#REF!,$A10,#REF!,"&lt;="&amp;AY$4))*110%/(180-AY$4),AZ$4&gt;=$C10,($L10-SUM(#REF!))*110%/(180-AY$4))</f>
        <v>#REF!</v>
      </c>
      <c r="BA10" s="32" t="e" cm="1">
        <f t="array" aca="1" ref="BA10" ca="1">_xlfn.IFS(BA$4&lt;$C10,($L10-SUMIFS(#REF!,#REF!,$A10,#REF!,"&lt;="&amp;AZ$4))*110%/(180-AZ$4),BA$4&gt;=$C10,($L10-SUM(#REF!))*110%/(180-AZ$4))</f>
        <v>#REF!</v>
      </c>
      <c r="BB10" s="32" t="e" cm="1">
        <f t="array" aca="1" ref="BB10" ca="1">_xlfn.IFS(BB$4&lt;$C10,($L10-SUMIFS(#REF!,#REF!,$A10,#REF!,"&lt;="&amp;BA$4))*110%/(180-BA$4),BB$4&gt;=$C10,($L10-SUM(#REF!))*110%/(180-BA$4))</f>
        <v>#REF!</v>
      </c>
      <c r="BC10" s="32" t="e" cm="1">
        <f t="array" aca="1" ref="BC10" ca="1">_xlfn.IFS(BC$4&lt;$C10,($L10-SUMIFS(#REF!,#REF!,$A10,#REF!,"&lt;="&amp;BB$4))*110%/(180-BB$4),BC$4&gt;=$C10,($L10-SUM(#REF!))*110%/(180-BB$4))</f>
        <v>#REF!</v>
      </c>
      <c r="BD10" s="32" t="e" cm="1">
        <f t="array" aca="1" ref="BD10" ca="1">_xlfn.IFS(BD$4&lt;$C10,($L10-SUMIFS(#REF!,#REF!,$A10,#REF!,"&lt;="&amp;BC$4))*110%/(180-BC$4),BD$4&gt;=$C10,($L10-SUM(#REF!))*110%/(180-BC$4))</f>
        <v>#REF!</v>
      </c>
      <c r="BE10" s="32" t="e" cm="1">
        <f t="array" aca="1" ref="BE10" ca="1">_xlfn.IFS(BE$4&lt;$C10,($L10-SUMIFS(#REF!,#REF!,$A10,#REF!,"&lt;="&amp;BD$4))*110%/(180-BD$4),BE$4&gt;=$C10,($L10-SUM(#REF!))*110%/(180-BD$4))</f>
        <v>#REF!</v>
      </c>
      <c r="BF10" s="32" t="e" cm="1">
        <f t="array" aca="1" ref="BF10" ca="1">_xlfn.IFS(BF$4&lt;$C10,($L10-SUMIFS(#REF!,#REF!,$A10,#REF!,"&lt;="&amp;BE$4))*110%/(180-BE$4),BF$4&gt;=$C10,($L10-SUM(#REF!))*110%/(180-BE$4))</f>
        <v>#REF!</v>
      </c>
      <c r="BG10" s="32" t="e" cm="1">
        <f t="array" aca="1" ref="BG10" ca="1">_xlfn.IFS(BG$4&lt;$C10,($L10-SUMIFS(#REF!,#REF!,$A10,#REF!,"&lt;="&amp;BF$4))*110%/(180-BF$4),BG$4&gt;=$C10,($L10-SUM(#REF!))*110%/(180-BF$4))</f>
        <v>#REF!</v>
      </c>
      <c r="BH10" s="32" t="e" cm="1">
        <f t="array" aca="1" ref="BH10" ca="1">_xlfn.IFS(BH$4&lt;$C10,($L10-SUMIFS(#REF!,#REF!,$A10,#REF!,"&lt;="&amp;BG$4))*110%/(180-BG$4),BH$4&gt;=$C10,($L10-SUM(#REF!))*110%/(180-BG$4))</f>
        <v>#REF!</v>
      </c>
      <c r="BI10" s="32" t="e" cm="1">
        <f t="array" aca="1" ref="BI10" ca="1">_xlfn.IFS(BI$4&lt;$C10,($L10-SUMIFS(#REF!,#REF!,$A10,#REF!,"&lt;="&amp;BH$4))*110%/(180-BH$4),BI$4&gt;=$C10,($L10-SUM(#REF!))*110%/(180-BH$4))</f>
        <v>#REF!</v>
      </c>
      <c r="BJ10" s="32" t="e" cm="1">
        <f t="array" aca="1" ref="BJ10" ca="1">_xlfn.IFS(BJ$4&lt;$C10,($L10-SUMIFS(#REF!,#REF!,$A10,#REF!,"&lt;="&amp;BI$4))*110%/(180-BI$4),BJ$4&gt;=$C10,($L10-SUM(#REF!))*110%/(180-BI$4))</f>
        <v>#REF!</v>
      </c>
      <c r="BK10" s="32" t="e" cm="1">
        <f t="array" aca="1" ref="BK10" ca="1">_xlfn.IFS(BK$4&lt;$C10,($L10-SUMIFS(#REF!,#REF!,$A10,#REF!,"&lt;="&amp;BJ$4))*110%/(180-BJ$4),BK$4&gt;=$C10,($L10-SUM(#REF!))*110%/(180-BJ$4))</f>
        <v>#REF!</v>
      </c>
      <c r="BL10" s="32" t="e" cm="1">
        <f t="array" aca="1" ref="BL10" ca="1">_xlfn.IFS(BL$4&lt;$C10,($L10-SUMIFS(#REF!,#REF!,$A10,#REF!,"&lt;="&amp;BK$4))*110%/(180-BK$4),BL$4&gt;=$C10,($L10-SUM(#REF!))*110%/(180-BK$4))</f>
        <v>#REF!</v>
      </c>
      <c r="BM10" s="32" t="e" cm="1">
        <f t="array" aca="1" ref="BM10" ca="1">_xlfn.IFS(BM$4&lt;$C10,($L10-SUMIFS(#REF!,#REF!,$A10,#REF!,"&lt;="&amp;BL$4))*110%/(180-BL$4),BM$4&gt;=$C10,($L10-SUM(#REF!))*110%/(180-BL$4))</f>
        <v>#REF!</v>
      </c>
      <c r="BN10" s="32" t="e" cm="1">
        <f t="array" aca="1" ref="BN10" ca="1">_xlfn.IFS(BN$4&lt;$C10,($L10-SUMIFS(#REF!,#REF!,$A10,#REF!,"&lt;="&amp;BM$4))*110%/(180-BM$4),BN$4&gt;=$C10,($L10-SUM(#REF!))*110%/(180-BM$4))</f>
        <v>#REF!</v>
      </c>
      <c r="BO10" s="32" t="e" cm="1">
        <f t="array" aca="1" ref="BO10" ca="1">_xlfn.IFS(BO$4&lt;$C10,($L10-SUMIFS(#REF!,#REF!,$A10,#REF!,"&lt;="&amp;BN$4))*110%/(180-BN$4),BO$4&gt;=$C10,($L10-SUM(#REF!))*110%/(180-BN$4))</f>
        <v>#REF!</v>
      </c>
      <c r="BP10" s="32" t="e" cm="1">
        <f t="array" aca="1" ref="BP10" ca="1">_xlfn.IFS(BP$4&lt;$C10,($L10-SUMIFS(#REF!,#REF!,$A10,#REF!,"&lt;="&amp;BO$4))*110%/(180-BO$4),BP$4&gt;=$C10,($L10-SUM(#REF!))*110%/(180-BO$4))</f>
        <v>#REF!</v>
      </c>
      <c r="BQ10" s="32" t="e" cm="1">
        <f t="array" aca="1" ref="BQ10" ca="1">_xlfn.IFS(BQ$4&lt;$C10,($L10-SUMIFS(#REF!,#REF!,$A10,#REF!,"&lt;="&amp;BP$4))*110%/(180-BP$4),BQ$4&gt;=$C10,($L10-SUM(#REF!))*110%/(180-BP$4))</f>
        <v>#REF!</v>
      </c>
      <c r="BR10" s="32" t="e" cm="1">
        <f t="array" aca="1" ref="BR10" ca="1">_xlfn.IFS(BR$4&lt;$C10,($L10-SUMIFS(#REF!,#REF!,$A10,#REF!,"&lt;="&amp;BQ$4))*110%/(180-BQ$4),BR$4&gt;=$C10,($L10-SUM(#REF!))*110%/(180-BQ$4))</f>
        <v>#REF!</v>
      </c>
      <c r="BS10" s="32" t="e" cm="1">
        <f t="array" aca="1" ref="BS10" ca="1">_xlfn.IFS(BS$4&lt;$C10,($L10-SUMIFS(#REF!,#REF!,$A10,#REF!,"&lt;="&amp;BR$4))*110%/(180-BR$4),BS$4&gt;=$C10,($L10-SUM(#REF!))*110%/(180-BR$4))</f>
        <v>#REF!</v>
      </c>
      <c r="BT10" s="32" t="e" cm="1">
        <f t="array" aca="1" ref="BT10" ca="1">_xlfn.IFS(BT$4&lt;$C10,($L10-SUMIFS(#REF!,#REF!,$A10,#REF!,"&lt;="&amp;BS$4))*110%/(180-BS$4),BT$4&gt;=$C10,($L10-SUM(#REF!))*110%/(180-BS$4))</f>
        <v>#REF!</v>
      </c>
      <c r="BU10" s="32" t="e" cm="1">
        <f t="array" aca="1" ref="BU10" ca="1">_xlfn.IFS(BU$4&lt;$C10,($L10-SUMIFS(#REF!,#REF!,$A10,#REF!,"&lt;="&amp;BT$4))*110%/(180-BT$4),BU$4&gt;=$C10,($L10-SUM(#REF!))*110%/(180-BT$4))</f>
        <v>#REF!</v>
      </c>
      <c r="BV10" s="32" t="e" cm="1">
        <f t="array" aca="1" ref="BV10" ca="1">_xlfn.IFS(BV$4&lt;$C10,($L10-SUMIFS(#REF!,#REF!,$A10,#REF!,"&lt;="&amp;BU$4))*110%/(180-BU$4),BV$4&gt;=$C10,($L10-SUM(#REF!))*110%/(180-BU$4))</f>
        <v>#REF!</v>
      </c>
      <c r="BW10" s="32" t="e" cm="1">
        <f t="array" aca="1" ref="BW10" ca="1">_xlfn.IFS(BW$4&lt;$C10,($L10-SUMIFS(#REF!,#REF!,$A10,#REF!,"&lt;="&amp;BV$4))*110%/(180-BV$4),BW$4&gt;=$C10,($L10-SUM(#REF!))*110%/(180-BV$4))</f>
        <v>#REF!</v>
      </c>
      <c r="BX10" s="32" t="e" cm="1">
        <f t="array" aca="1" ref="BX10" ca="1">_xlfn.IFS(BX$4&lt;$C10,($L10-SUMIFS(#REF!,#REF!,$A10,#REF!,"&lt;="&amp;BW$4))*110%/(180-BW$4),BX$4&gt;=$C10,($L10-SUM(#REF!))*110%/(180-BW$4))</f>
        <v>#REF!</v>
      </c>
      <c r="BY10" s="32" t="e" cm="1">
        <f t="array" aca="1" ref="BY10" ca="1">_xlfn.IFS(BY$4&lt;$C10,($L10-SUMIFS(#REF!,#REF!,$A10,#REF!,"&lt;="&amp;BX$4))*110%/(180-BX$4),BY$4&gt;=$C10,($L10-SUM(#REF!))*110%/(180-BX$4))</f>
        <v>#REF!</v>
      </c>
      <c r="BZ10" s="32" t="e" cm="1">
        <f t="array" aca="1" ref="BZ10" ca="1">_xlfn.IFS(BZ$4&lt;$C10,($L10-SUMIFS(#REF!,#REF!,$A10,#REF!,"&lt;="&amp;BY$4))*110%/(180-BY$4),BZ$4&gt;=$C10,($L10-SUM(#REF!))*110%/(180-BY$4))</f>
        <v>#REF!</v>
      </c>
      <c r="CA10" s="32" t="e" cm="1">
        <f t="array" aca="1" ref="CA10" ca="1">_xlfn.IFS(CA$4&lt;$C10,($L10-SUMIFS(#REF!,#REF!,$A10,#REF!,"&lt;="&amp;BZ$4))*110%/(180-BZ$4),CA$4&gt;=$C10,($L10-SUM(#REF!))*110%/(180-BZ$4))</f>
        <v>#REF!</v>
      </c>
      <c r="CB10" s="32" t="e" cm="1">
        <f t="array" aca="1" ref="CB10" ca="1">_xlfn.IFS(CB$4&lt;$C10,($L10-SUMIFS(#REF!,#REF!,$A10,#REF!,"&lt;="&amp;CA$4))*110%/(180-CA$4),CB$4&gt;=$C10,($L10-SUM(#REF!))*110%/(180-CA$4))</f>
        <v>#REF!</v>
      </c>
      <c r="CC10" s="32" t="e" cm="1">
        <f t="array" aca="1" ref="CC10" ca="1">_xlfn.IFS(CC$4&lt;$C10,($L10-SUMIFS(#REF!,#REF!,$A10,#REF!,"&lt;="&amp;CB$4))*110%/(180-CB$4),CC$4&gt;=$C10,($L10-SUM(#REF!))*110%/(180-CB$4))</f>
        <v>#REF!</v>
      </c>
      <c r="CD10" s="32" t="e" cm="1">
        <f t="array" aca="1" ref="CD10" ca="1">_xlfn.IFS(CD$4&lt;$C10,($L10-SUMIFS(#REF!,#REF!,$A10,#REF!,"&lt;="&amp;CC$4))*110%/(180-CC$4),CD$4&gt;=$C10,($L10-SUM(#REF!))*110%/(180-CC$4))</f>
        <v>#REF!</v>
      </c>
      <c r="CE10" s="32" t="e" cm="1">
        <f t="array" aca="1" ref="CE10" ca="1">_xlfn.IFS(CE$4&lt;$C10,($L10-SUMIFS(#REF!,#REF!,$A10,#REF!,"&lt;="&amp;CD$4))*110%/(180-CD$4),CE$4&gt;=$C10,($L10-SUM(#REF!))*110%/(180-CD$4))</f>
        <v>#REF!</v>
      </c>
      <c r="CF10" s="32" t="e" cm="1">
        <f t="array" aca="1" ref="CF10" ca="1">_xlfn.IFS(CF$4&lt;$C10,($L10-SUMIFS(#REF!,#REF!,$A10,#REF!,"&lt;="&amp;CE$4))*110%/(180-CE$4),CF$4&gt;=$C10,($L10-SUM(#REF!))*110%/(180-CE$4))</f>
        <v>#REF!</v>
      </c>
      <c r="CG10" s="32" t="e" cm="1">
        <f t="array" aca="1" ref="CG10" ca="1">_xlfn.IFS(CG$4&lt;$C10,($L10-SUMIFS(#REF!,#REF!,$A10,#REF!,"&lt;="&amp;CF$4))*110%/(180-CF$4),CG$4&gt;=$C10,($L10-SUM(#REF!))*110%/(180-CF$4))</f>
        <v>#REF!</v>
      </c>
      <c r="CH10" s="32" t="e" cm="1">
        <f t="array" aca="1" ref="CH10" ca="1">_xlfn.IFS(CH$4&lt;$C10,($L10-SUMIFS(#REF!,#REF!,$A10,#REF!,"&lt;="&amp;CG$4))*110%/(180-CG$4),CH$4&gt;=$C10,($L10-SUM(#REF!))*110%/(180-CG$4))</f>
        <v>#REF!</v>
      </c>
      <c r="CI10" s="32" t="e" cm="1">
        <f t="array" aca="1" ref="CI10" ca="1">_xlfn.IFS(CI$4&lt;$C10,($L10-SUMIFS(#REF!,#REF!,$A10,#REF!,"&lt;="&amp;CH$4))*110%/(180-CH$4),CI$4&gt;=$C10,($L10-SUM(#REF!))*110%/(180-CH$4))</f>
        <v>#REF!</v>
      </c>
      <c r="CJ10" s="32" t="e" cm="1">
        <f t="array" aca="1" ref="CJ10" ca="1">_xlfn.IFS(CJ$4&lt;$C10,($L10-SUMIFS(#REF!,#REF!,$A10,#REF!,"&lt;="&amp;CI$4))*110%/(180-CI$4),CJ$4&gt;=$C10,($L10-SUM(#REF!))*110%/(180-CI$4))</f>
        <v>#REF!</v>
      </c>
      <c r="CK10" s="32" t="e" cm="1">
        <f t="array" aca="1" ref="CK10" ca="1">_xlfn.IFS(CK$4&lt;$C10,($L10-SUMIFS(#REF!,#REF!,$A10,#REF!,"&lt;="&amp;CJ$4))*110%/(180-CJ$4),CK$4&gt;=$C10,($L10-SUM(#REF!))*110%/(180-CJ$4))</f>
        <v>#REF!</v>
      </c>
      <c r="CL10" s="32" t="e" cm="1">
        <f t="array" aca="1" ref="CL10" ca="1">_xlfn.IFS(CL$4&lt;$C10,($L10-SUMIFS(#REF!,#REF!,$A10,#REF!,"&lt;="&amp;CK$4))*110%/(180-CK$4),CL$4&gt;=$C10,($L10-SUM(#REF!))*110%/(180-CK$4))</f>
        <v>#REF!</v>
      </c>
      <c r="CM10" s="32" t="e" cm="1">
        <f t="array" aca="1" ref="CM10" ca="1">_xlfn.IFS(CM$4&lt;$C10,($L10-SUMIFS(#REF!,#REF!,$A10,#REF!,"&lt;="&amp;CL$4))*110%/(180-CL$4),CM$4&gt;=$C10,($L10-SUM(#REF!))*110%/(180-CL$4))</f>
        <v>#REF!</v>
      </c>
      <c r="CN10" s="32" t="e" cm="1">
        <f t="array" aca="1" ref="CN10" ca="1">_xlfn.IFS(CN$4&lt;$C10,($L10-SUMIFS(#REF!,#REF!,$A10,#REF!,"&lt;="&amp;CM$4))*110%/(180-CM$4),CN$4&gt;=$C10,($L10-SUM(#REF!))*110%/(180-CM$4))</f>
        <v>#REF!</v>
      </c>
      <c r="CO10" s="32" t="e" cm="1">
        <f t="array" aca="1" ref="CO10" ca="1">_xlfn.IFS(CO$4&lt;$C10,($L10-SUMIFS(#REF!,#REF!,$A10,#REF!,"&lt;="&amp;CN$4))*110%/(180-CN$4),CO$4&gt;=$C10,($L10-SUM(#REF!))*110%/(180-CN$4))</f>
        <v>#REF!</v>
      </c>
      <c r="CP10" s="32" t="e" cm="1">
        <f t="array" aca="1" ref="CP10" ca="1">_xlfn.IFS(CP$4&lt;$C10,($L10-SUMIFS(#REF!,#REF!,$A10,#REF!,"&lt;="&amp;CO$4))*110%/(180-CO$4),CP$4&gt;=$C10,($L10-SUM(#REF!))*110%/(180-CO$4))</f>
        <v>#REF!</v>
      </c>
      <c r="CQ10" s="32" t="e" cm="1">
        <f t="array" aca="1" ref="CQ10" ca="1">_xlfn.IFS(CQ$4&lt;$C10,($L10-SUMIFS(#REF!,#REF!,$A10,#REF!,"&lt;="&amp;CP$4))*110%/(180-CP$4),CQ$4&gt;=$C10,($L10-SUM(#REF!))*110%/(180-CP$4))</f>
        <v>#REF!</v>
      </c>
      <c r="CR10" s="32" t="e" cm="1">
        <f t="array" aca="1" ref="CR10" ca="1">_xlfn.IFS(CR$4&lt;$C10,($L10-SUMIFS(#REF!,#REF!,$A10,#REF!,"&lt;="&amp;CQ$4))*110%/(180-CQ$4),CR$4&gt;=$C10,($L10-SUM(#REF!))*110%/(180-CQ$4))</f>
        <v>#REF!</v>
      </c>
      <c r="CS10" s="32" t="e" cm="1">
        <f t="array" aca="1" ref="CS10" ca="1">_xlfn.IFS(CS$4&lt;$C10,($L10-SUMIFS(#REF!,#REF!,$A10,#REF!,"&lt;="&amp;CR$4))*110%/(180-CR$4),CS$4&gt;=$C10,($L10-SUM(#REF!))*110%/(180-CR$4))</f>
        <v>#REF!</v>
      </c>
      <c r="CT10" s="32" t="e" cm="1">
        <f t="array" aca="1" ref="CT10" ca="1">_xlfn.IFS(CT$4&lt;$C10,($L10-SUMIFS(#REF!,#REF!,$A10,#REF!,"&lt;="&amp;CS$4))*110%/(180-CS$4),CT$4&gt;=$C10,($L10-SUM(#REF!))*110%/(180-CS$4))</f>
        <v>#REF!</v>
      </c>
      <c r="CU10" s="32" t="e" cm="1">
        <f t="array" aca="1" ref="CU10" ca="1">_xlfn.IFS(CU$4&lt;$C10,($L10-SUMIFS(#REF!,#REF!,$A10,#REF!,"&lt;="&amp;CT$4))*110%/(180-CT$4),CU$4&gt;=$C10,($L10-SUM(#REF!))*110%/(180-CT$4))</f>
        <v>#REF!</v>
      </c>
      <c r="CV10" s="32" t="e" cm="1">
        <f t="array" aca="1" ref="CV10" ca="1">_xlfn.IFS(CV$4&lt;$C10,($L10-SUMIFS(#REF!,#REF!,$A10,#REF!,"&lt;="&amp;CU$4))*110%/(180-CU$4),CV$4&gt;=$C10,($L10-SUM(#REF!))*110%/(180-CU$4))</f>
        <v>#REF!</v>
      </c>
      <c r="CW10" s="32" t="e" cm="1">
        <f t="array" aca="1" ref="CW10" ca="1">_xlfn.IFS(CW$4&lt;$C10,($L10-SUMIFS(#REF!,#REF!,$A10,#REF!,"&lt;="&amp;CV$4))*110%/(180-CV$4),CW$4&gt;=$C10,($L10-SUM(#REF!))*110%/(180-CV$4))</f>
        <v>#REF!</v>
      </c>
      <c r="CX10" s="32" t="e" cm="1">
        <f t="array" aca="1" ref="CX10" ca="1">_xlfn.IFS(CX$4&lt;$C10,($L10-SUMIFS(#REF!,#REF!,$A10,#REF!,"&lt;="&amp;CW$4))*110%/(180-CW$4),CX$4&gt;=$C10,($L10-SUM(#REF!))*110%/(180-CW$4))</f>
        <v>#REF!</v>
      </c>
      <c r="CY10" s="32" t="e" cm="1">
        <f t="array" aca="1" ref="CY10" ca="1">_xlfn.IFS(CY$4&lt;$C10,($L10-SUMIFS(#REF!,#REF!,$A10,#REF!,"&lt;="&amp;CX$4))*110%/(180-CX$4),CY$4&gt;=$C10,($L10-SUM(#REF!))*110%/(180-CX$4))</f>
        <v>#REF!</v>
      </c>
      <c r="CZ10" s="32" t="e" cm="1">
        <f t="array" aca="1" ref="CZ10" ca="1">_xlfn.IFS(CZ$4&lt;$C10,($L10-SUMIFS(#REF!,#REF!,$A10,#REF!,"&lt;="&amp;CY$4))*110%/(180-CY$4),CZ$4&gt;=$C10,($L10-SUM(#REF!))*110%/(180-CY$4))</f>
        <v>#REF!</v>
      </c>
      <c r="DA10" s="32" t="e" cm="1">
        <f t="array" aca="1" ref="DA10" ca="1">_xlfn.IFS(DA$4&lt;$C10,($L10-SUMIFS(#REF!,#REF!,$A10,#REF!,"&lt;="&amp;CZ$4))*110%/(180-CZ$4),DA$4&gt;=$C10,($L10-SUM(#REF!))*110%/(180-CZ$4))</f>
        <v>#REF!</v>
      </c>
      <c r="DB10" s="32" t="e" cm="1">
        <f t="array" aca="1" ref="DB10" ca="1">_xlfn.IFS(DB$4&lt;$C10,($L10-SUMIFS(#REF!,#REF!,$A10,#REF!,"&lt;="&amp;DA$4))*110%/(180-DA$4),DB$4&gt;=$C10,($L10-SUM(#REF!))*110%/(180-DA$4))</f>
        <v>#REF!</v>
      </c>
      <c r="DC10" s="32" t="e" cm="1">
        <f t="array" aca="1" ref="DC10" ca="1">_xlfn.IFS(DC$4&lt;$C10,($L10-SUMIFS(#REF!,#REF!,$A10,#REF!,"&lt;="&amp;DB$4))*110%/(180-DB$4),DC$4&gt;=$C10,($L10-SUM(#REF!))*110%/(180-DB$4))</f>
        <v>#REF!</v>
      </c>
      <c r="DD10" s="32" t="e" cm="1">
        <f t="array" aca="1" ref="DD10" ca="1">_xlfn.IFS(DD$4&lt;$C10,($L10-SUMIFS(#REF!,#REF!,$A10,#REF!,"&lt;="&amp;DC$4))*110%/(180-DC$4),DD$4&gt;=$C10,($L10-SUM(#REF!))*110%/(180-DC$4))</f>
        <v>#REF!</v>
      </c>
      <c r="DE10" s="32" t="e" cm="1">
        <f t="array" aca="1" ref="DE10" ca="1">_xlfn.IFS(DE$4&lt;$C10,($L10-SUMIFS(#REF!,#REF!,$A10,#REF!,"&lt;="&amp;DD$4))*110%/(180-DD$4),DE$4&gt;=$C10,($L10-SUM(#REF!))*110%/(180-DD$4))</f>
        <v>#REF!</v>
      </c>
      <c r="DF10" s="32" t="e" cm="1">
        <f t="array" aca="1" ref="DF10" ca="1">_xlfn.IFS(DF$4&lt;$C10,($L10-SUMIFS(#REF!,#REF!,$A10,#REF!,"&lt;="&amp;DE$4))*110%/(180-DE$4),DF$4&gt;=$C10,($L10-SUM(#REF!))*110%/(180-DE$4))</f>
        <v>#REF!</v>
      </c>
      <c r="DG10" s="32" t="e" cm="1">
        <f t="array" aca="1" ref="DG10" ca="1">_xlfn.IFS(DG$4&lt;$C10,($L10-SUMIFS(#REF!,#REF!,$A10,#REF!,"&lt;="&amp;DF$4))*110%/(180-DF$4),DG$4&gt;=$C10,($L10-SUM(#REF!))*110%/(180-DF$4))</f>
        <v>#REF!</v>
      </c>
      <c r="DH10" s="32" t="e" cm="1">
        <f t="array" aca="1" ref="DH10" ca="1">_xlfn.IFS(DH$4&lt;$C10,($L10-SUMIFS(#REF!,#REF!,$A10,#REF!,"&lt;="&amp;DG$4))*110%/(180-DG$4),DH$4&gt;=$C10,($L10-SUM(#REF!))*110%/(180-DG$4))</f>
        <v>#REF!</v>
      </c>
      <c r="DI10" s="32" t="e" cm="1">
        <f t="array" aca="1" ref="DI10" ca="1">_xlfn.IFS(DI$4&lt;$C10,($L10-SUMIFS(#REF!,#REF!,$A10,#REF!,"&lt;="&amp;DH$4))*110%/(180-DH$4),DI$4&gt;=$C10,($L10-SUM(#REF!))*110%/(180-DH$4))</f>
        <v>#REF!</v>
      </c>
      <c r="DJ10" s="32" t="e" cm="1">
        <f t="array" aca="1" ref="DJ10" ca="1">_xlfn.IFS(DJ$4&lt;$C10,($L10-SUMIFS(#REF!,#REF!,$A10,#REF!,"&lt;="&amp;DI$4))*110%/(180-DI$4),DJ$4&gt;=$C10,($L10-SUM(#REF!))*110%/(180-DI$4))</f>
        <v>#REF!</v>
      </c>
      <c r="DK10" s="32" t="e" cm="1">
        <f t="array" aca="1" ref="DK10" ca="1">_xlfn.IFS(DK$4&lt;$C10,($L10-SUMIFS(#REF!,#REF!,$A10,#REF!,"&lt;="&amp;DJ$4))*110%/(180-DJ$4),DK$4&gt;=$C10,($L10-SUM(#REF!))*110%/(180-DJ$4))</f>
        <v>#REF!</v>
      </c>
      <c r="DL10" s="32" t="e" cm="1">
        <f t="array" aca="1" ref="DL10" ca="1">_xlfn.IFS(DL$4&lt;$C10,($L10-SUMIFS(#REF!,#REF!,$A10,#REF!,"&lt;="&amp;DK$4))*110%/(180-DK$4),DL$4&gt;=$C10,($L10-SUM(#REF!))*110%/(180-DK$4))</f>
        <v>#REF!</v>
      </c>
      <c r="DM10" s="32" t="e" cm="1">
        <f t="array" aca="1" ref="DM10" ca="1">_xlfn.IFS(DM$4&lt;$C10,($L10-SUMIFS(#REF!,#REF!,$A10,#REF!,"&lt;="&amp;DL$4))*110%/(180-DL$4),DM$4&gt;=$C10,($L10-SUM(#REF!))*110%/(180-DL$4))</f>
        <v>#REF!</v>
      </c>
      <c r="DN10" s="32" t="e" cm="1">
        <f t="array" aca="1" ref="DN10" ca="1">_xlfn.IFS(DN$4&lt;$C10,($L10-SUMIFS(#REF!,#REF!,$A10,#REF!,"&lt;="&amp;DM$4))*110%/(180-DM$4),DN$4&gt;=$C10,($L10-SUM(#REF!))*110%/(180-DM$4))</f>
        <v>#REF!</v>
      </c>
      <c r="DO10" s="32" t="e" cm="1">
        <f t="array" aca="1" ref="DO10" ca="1">_xlfn.IFS(DO$4&lt;$C10,($L10-SUMIFS(#REF!,#REF!,$A10,#REF!,"&lt;="&amp;DN$4))*110%/(180-DN$4),DO$4&gt;=$C10,($L10-SUM(#REF!))*110%/(180-DN$4))</f>
        <v>#REF!</v>
      </c>
      <c r="DP10" s="32" t="e" cm="1">
        <f t="array" aca="1" ref="DP10" ca="1">_xlfn.IFS(DP$4&lt;$C10,($L10-SUMIFS(#REF!,#REF!,$A10,#REF!,"&lt;="&amp;DO$4))*110%/(180-DO$4),DP$4&gt;=$C10,($L10-SUM(#REF!))*110%/(180-DO$4))</f>
        <v>#REF!</v>
      </c>
      <c r="DQ10" s="32" t="e" cm="1">
        <f t="array" aca="1" ref="DQ10" ca="1">_xlfn.IFS(DQ$4&lt;$C10,($L10-SUMIFS(#REF!,#REF!,$A10,#REF!,"&lt;="&amp;DP$4))*110%/(180-DP$4),DQ$4&gt;=$C10,($L10-SUM(#REF!))*110%/(180-DP$4))</f>
        <v>#REF!</v>
      </c>
      <c r="DR10" s="32" t="e" cm="1">
        <f t="array" aca="1" ref="DR10" ca="1">_xlfn.IFS(DR$4&lt;$C10,($L10-SUMIFS(#REF!,#REF!,$A10,#REF!,"&lt;="&amp;DQ$4))*110%/(180-DQ$4),DR$4&gt;=$C10,($L10-SUM(#REF!))*110%/(180-DQ$4))</f>
        <v>#REF!</v>
      </c>
      <c r="DS10" s="32" t="e" cm="1">
        <f t="array" aca="1" ref="DS10" ca="1">_xlfn.IFS(DS$4&lt;$C10,($L10-SUMIFS(#REF!,#REF!,$A10,#REF!,"&lt;="&amp;DR$4))*110%/(180-DR$4),DS$4&gt;=$C10,($L10-SUM(#REF!))*110%/(180-DR$4))</f>
        <v>#REF!</v>
      </c>
      <c r="DT10" s="32" t="e" cm="1">
        <f t="array" aca="1" ref="DT10" ca="1">_xlfn.IFS(DT$4&lt;$C10,($L10-SUMIFS(#REF!,#REF!,$A10,#REF!,"&lt;="&amp;DS$4))*110%/(180-DS$4),DT$4&gt;=$C10,($L10-SUM(#REF!))*110%/(180-DS$4))</f>
        <v>#REF!</v>
      </c>
      <c r="DU10" s="32" t="e" cm="1">
        <f t="array" aca="1" ref="DU10" ca="1">_xlfn.IFS(DU$4&lt;$C10,($L10-SUMIFS(#REF!,#REF!,$A10,#REF!,"&lt;="&amp;DT$4))*110%/(180-DT$4),DU$4&gt;=$C10,($L10-SUM(#REF!))*110%/(180-DT$4))</f>
        <v>#REF!</v>
      </c>
      <c r="DV10" s="32" t="e" cm="1">
        <f t="array" aca="1" ref="DV10" ca="1">_xlfn.IFS(DV$4&lt;$C10,($L10-SUMIFS(#REF!,#REF!,$A10,#REF!,"&lt;="&amp;DU$4))*110%/(180-DU$4),DV$4&gt;=$C10,($L10-SUM(#REF!))*110%/(180-DU$4))</f>
        <v>#REF!</v>
      </c>
      <c r="DW10" s="32" t="e" cm="1">
        <f t="array" aca="1" ref="DW10" ca="1">_xlfn.IFS(DW$4&lt;$C10,($L10-SUMIFS(#REF!,#REF!,$A10,#REF!,"&lt;="&amp;DV$4))*110%/(180-DV$4),DW$4&gt;=$C10,($L10-SUM(#REF!))*110%/(180-DV$4))</f>
        <v>#REF!</v>
      </c>
      <c r="DX10" s="32" t="e" cm="1">
        <f t="array" aca="1" ref="DX10" ca="1">_xlfn.IFS(DX$4&lt;$C10,($L10-SUMIFS(#REF!,#REF!,$A10,#REF!,"&lt;="&amp;DW$4))*110%/(180-DW$4),DX$4&gt;=$C10,($L10-SUM(#REF!))*110%/(180-DW$4))</f>
        <v>#REF!</v>
      </c>
      <c r="DY10" s="32" t="e" cm="1">
        <f t="array" aca="1" ref="DY10" ca="1">_xlfn.IFS(DY$4&lt;$C10,($L10-SUMIFS(#REF!,#REF!,$A10,#REF!,"&lt;="&amp;DX$4))*110%/(180-DX$4),DY$4&gt;=$C10,($L10-SUM(#REF!))*110%/(180-DX$4))</f>
        <v>#REF!</v>
      </c>
      <c r="DZ10" s="32" t="e" cm="1">
        <f t="array" aca="1" ref="DZ10" ca="1">_xlfn.IFS(DZ$4&lt;$C10,($L10-SUMIFS(#REF!,#REF!,$A10,#REF!,"&lt;="&amp;DY$4))*110%/(180-DY$4),DZ$4&gt;=$C10,($L10-SUM(#REF!))*110%/(180-DY$4))</f>
        <v>#REF!</v>
      </c>
      <c r="EA10" s="32" t="e" cm="1">
        <f t="array" aca="1" ref="EA10" ca="1">_xlfn.IFS(EA$4&lt;$C10,($L10-SUMIFS(#REF!,#REF!,$A10,#REF!,"&lt;="&amp;DZ$4))*110%/(180-DZ$4),EA$4&gt;=$C10,($L10-SUM(#REF!))*110%/(180-DZ$4))</f>
        <v>#REF!</v>
      </c>
      <c r="EB10" s="32" t="e" cm="1">
        <f t="array" aca="1" ref="EB10" ca="1">_xlfn.IFS(EB$4&lt;$C10,($L10-SUMIFS(#REF!,#REF!,$A10,#REF!,"&lt;="&amp;EA$4))*110%/(180-EA$4),EB$4&gt;=$C10,($L10-SUM(#REF!))*110%/(180-EA$4))</f>
        <v>#REF!</v>
      </c>
      <c r="EC10" s="32" t="e" cm="1">
        <f t="array" aca="1" ref="EC10" ca="1">_xlfn.IFS(EC$4&lt;$C10,($L10-SUMIFS(#REF!,#REF!,$A10,#REF!,"&lt;="&amp;EB$4))*110%/(180-EB$4),EC$4&gt;=$C10,($L10-SUM(#REF!))*110%/(180-EB$4))</f>
        <v>#REF!</v>
      </c>
      <c r="ED10" s="32" t="e" cm="1">
        <f t="array" aca="1" ref="ED10" ca="1">_xlfn.IFS(ED$4&lt;$C10,($L10-SUMIFS(#REF!,#REF!,$A10,#REF!,"&lt;="&amp;EC$4))*110%/(180-EC$4),ED$4&gt;=$C10,($L10-SUM(#REF!))*110%/(180-EC$4))</f>
        <v>#REF!</v>
      </c>
      <c r="EE10" s="32" t="e" cm="1">
        <f t="array" aca="1" ref="EE10" ca="1">_xlfn.IFS(EE$4&lt;$C10,($L10-SUMIFS(#REF!,#REF!,$A10,#REF!,"&lt;="&amp;ED$4))*110%/(180-ED$4),EE$4&gt;=$C10,($L10-SUM(#REF!))*110%/(180-ED$4))</f>
        <v>#REF!</v>
      </c>
      <c r="EF10" s="32" t="e" cm="1">
        <f t="array" aca="1" ref="EF10" ca="1">_xlfn.IFS(EF$4&lt;$C10,($L10-SUMIFS(#REF!,#REF!,$A10,#REF!,"&lt;="&amp;EE$4))*100%/(180-EE$4),EF$4&gt;=$C10,($L10-SUM(#REF!))*100%/(180-EE$4))</f>
        <v>#REF!</v>
      </c>
      <c r="EG10" s="32" t="e" cm="1">
        <f t="array" aca="1" ref="EG10" ca="1">_xlfn.IFS(EG$4&lt;$C10,($L10-SUMIFS(#REF!,#REF!,$A10,#REF!,"&lt;="&amp;EF$4))*100%/(180-EF$4),EG$4&gt;=$C10,($L10-SUM(#REF!))*100%/(180-EF$4))</f>
        <v>#REF!</v>
      </c>
      <c r="EH10" s="32" t="e" cm="1">
        <f t="array" aca="1" ref="EH10" ca="1">_xlfn.IFS(EH$4&lt;$C10,($L10-SUMIFS(#REF!,#REF!,$A10,#REF!,"&lt;="&amp;EG$4))*100%/(180-EG$4),EH$4&gt;=$C10,($L10-SUM(#REF!))*100%/(180-EG$4))</f>
        <v>#REF!</v>
      </c>
      <c r="EI10" s="32" t="e" cm="1">
        <f t="array" aca="1" ref="EI10" ca="1">_xlfn.IFS(EI$4&lt;$C10,($L10-SUMIFS(#REF!,#REF!,$A10,#REF!,"&lt;="&amp;EH$4))*100%/(180-EH$4),EI$4&gt;=$C10,($L10-SUM(#REF!))*100%/(180-EH$4))</f>
        <v>#REF!</v>
      </c>
      <c r="EJ10" s="32" t="e" cm="1">
        <f t="array" aca="1" ref="EJ10" ca="1">_xlfn.IFS(EJ$4&lt;$C10,($L10-SUMIFS(#REF!,#REF!,$A10,#REF!,"&lt;="&amp;EI$4))*100%/(180-EI$4),EJ$4&gt;=$C10,($L10-SUM(#REF!))*100%/(180-EI$4))</f>
        <v>#REF!</v>
      </c>
      <c r="EK10" s="32" t="e" cm="1">
        <f t="array" aca="1" ref="EK10" ca="1">_xlfn.IFS(EK$4&lt;$C10,($L10-SUMIFS(#REF!,#REF!,$A10,#REF!,"&lt;="&amp;EJ$4))*100%/(180-EJ$4),EK$4&gt;=$C10,($L10-SUM(#REF!))*100%/(180-EJ$4))</f>
        <v>#REF!</v>
      </c>
      <c r="EL10" s="32" t="e" cm="1">
        <f t="array" aca="1" ref="EL10" ca="1">_xlfn.IFS(EL$4&lt;$C10,($L10-SUMIFS(#REF!,#REF!,$A10,#REF!,"&lt;="&amp;EK$4))*100%/(180-EK$4),EL$4&gt;=$C10,($L10-SUM(#REF!))*100%/(180-EK$4))</f>
        <v>#REF!</v>
      </c>
      <c r="EM10" s="32" t="e" cm="1">
        <f t="array" aca="1" ref="EM10" ca="1">_xlfn.IFS(EM$4&lt;$C10,($L10-SUMIFS(#REF!,#REF!,$A10,#REF!,"&lt;="&amp;EL$4))*100%/(180-EL$4),EM$4&gt;=$C10,($L10-SUM(#REF!))*100%/(180-EL$4))</f>
        <v>#REF!</v>
      </c>
      <c r="EN10" s="32" t="e" cm="1">
        <f t="array" aca="1" ref="EN10" ca="1">_xlfn.IFS(EN$4&lt;$C10,($L10-SUMIFS(#REF!,#REF!,$A10,#REF!,"&lt;="&amp;EM$4))*100%/(180-EM$4),EN$4&gt;=$C10,($L10-SUM(#REF!))*100%/(180-EM$4))</f>
        <v>#REF!</v>
      </c>
      <c r="EO10" s="32" t="e" cm="1">
        <f t="array" aca="1" ref="EO10" ca="1">_xlfn.IFS(EO$4&lt;$C10,($L10-SUMIFS(#REF!,#REF!,$A10,#REF!,"&lt;="&amp;EN$4))*100%/(180-EN$4),EO$4&gt;=$C10,($L10-SUM(#REF!))*100%/(180-EN$4))</f>
        <v>#REF!</v>
      </c>
      <c r="EP10" s="32" t="e" cm="1">
        <f t="array" aca="1" ref="EP10" ca="1">_xlfn.IFS(EP$4&lt;$C10,($L10-SUMIFS(#REF!,#REF!,$A10,#REF!,"&lt;="&amp;EO$4))*100%/(180-EO$4),EP$4&gt;=$C10,($L10-SUM(#REF!))*100%/(180-EO$4))</f>
        <v>#REF!</v>
      </c>
      <c r="EQ10" s="32" t="e" cm="1">
        <f t="array" aca="1" ref="EQ10" ca="1">_xlfn.IFS(EQ$4&lt;$C10,($L10-SUMIFS(#REF!,#REF!,$A10,#REF!,"&lt;="&amp;EP$4))*100%/(180-EP$4),EQ$4&gt;=$C10,($L10-SUM(#REF!))*100%/(180-EP$4))</f>
        <v>#REF!</v>
      </c>
      <c r="ER10" s="32" t="e" cm="1">
        <f t="array" aca="1" ref="ER10" ca="1">_xlfn.IFS(ER$4&lt;$C10,($L10-SUMIFS(#REF!,#REF!,$A10,#REF!,"&lt;="&amp;EQ$4))*100%/(180-EQ$4),ER$4&gt;=$C10,($L10-SUM(#REF!))*100%/(180-EQ$4))</f>
        <v>#REF!</v>
      </c>
      <c r="ES10" s="32" t="e" cm="1">
        <f t="array" aca="1" ref="ES10" ca="1">_xlfn.IFS(ES$4&lt;$C10,($L10-SUMIFS(#REF!,#REF!,$A10,#REF!,"&lt;="&amp;ER$4))*100%/(180-ER$4),ES$4&gt;=$C10,($L10-SUM(#REF!))*100%/(180-ER$4))</f>
        <v>#REF!</v>
      </c>
      <c r="ET10" s="32" t="e" cm="1">
        <f t="array" aca="1" ref="ET10" ca="1">_xlfn.IFS(ET$4&lt;$C10,($L10-SUMIFS(#REF!,#REF!,$A10,#REF!,"&lt;="&amp;ES$4))*100%/(180-ES$4),ET$4&gt;=$C10,($L10-SUM(#REF!))*100%/(180-ES$4))</f>
        <v>#REF!</v>
      </c>
      <c r="EU10" s="32" t="e" cm="1">
        <f t="array" aca="1" ref="EU10" ca="1">_xlfn.IFS(EU$4&lt;$C10,($L10-SUMIFS(#REF!,#REF!,$A10,#REF!,"&lt;="&amp;ET$4))*100%/(180-ET$4),EU$4&gt;=$C10,($L10-SUM(#REF!))*100%/(180-ET$4))</f>
        <v>#REF!</v>
      </c>
      <c r="EV10" s="32" t="e" cm="1">
        <f t="array" aca="1" ref="EV10" ca="1">_xlfn.IFS(EV$4&lt;$C10,($L10-SUMIFS(#REF!,#REF!,$A10,#REF!,"&lt;="&amp;EU$4))*100%/(180-EU$4),EV$4&gt;=$C10,($L10-SUM(#REF!))*100%/(180-EU$4))</f>
        <v>#REF!</v>
      </c>
      <c r="EW10" s="32" t="e" cm="1">
        <f t="array" aca="1" ref="EW10" ca="1">_xlfn.IFS(EW$4&lt;$C10,($L10-SUMIFS(#REF!,#REF!,$A10,#REF!,"&lt;="&amp;EV$4))*100%/(180-EV$4),EW$4&gt;=$C10,($L10-SUM(#REF!))*100%/(180-EV$4))</f>
        <v>#REF!</v>
      </c>
      <c r="EX10" s="32" t="e" cm="1">
        <f t="array" aca="1" ref="EX10" ca="1">_xlfn.IFS(EX$4&lt;$C10,($L10-SUMIFS(#REF!,#REF!,$A10,#REF!,"&lt;="&amp;EW$4))*100%/(180-EW$4),EX$4&gt;=$C10,($L10-SUM(#REF!))*100%/(180-EW$4))</f>
        <v>#REF!</v>
      </c>
      <c r="EY10" s="32" t="e" cm="1">
        <f t="array" aca="1" ref="EY10" ca="1">_xlfn.IFS(EY$4&lt;$C10,($L10-SUMIFS(#REF!,#REF!,$A10,#REF!,"&lt;="&amp;EX$4))*100%/(180-EX$4),EY$4&gt;=$C10,($L10-SUM(#REF!))*100%/(180-EX$4))</f>
        <v>#REF!</v>
      </c>
      <c r="EZ10" s="32" t="e" cm="1">
        <f t="array" aca="1" ref="EZ10" ca="1">_xlfn.IFS(EZ$4&lt;$C10,($L10-SUMIFS(#REF!,#REF!,$A10,#REF!,"&lt;="&amp;EY$4))*100%/(180-EY$4),EZ$4&gt;=$C10,($L10-SUM(#REF!))*100%/(180-EY$4))</f>
        <v>#REF!</v>
      </c>
      <c r="FA10" s="32" t="e" cm="1">
        <f t="array" aca="1" ref="FA10" ca="1">_xlfn.IFS(FA$4&lt;$C10,($L10-SUMIFS(#REF!,#REF!,$A10,#REF!,"&lt;="&amp;EZ$4))*100%/(180-EZ$4),FA$4&gt;=$C10,($L10-SUM(#REF!))*100%/(180-EZ$4))</f>
        <v>#REF!</v>
      </c>
      <c r="FB10" s="32" t="e" cm="1">
        <f t="array" aca="1" ref="FB10" ca="1">_xlfn.IFS(FB$4&lt;$C10,($L10-SUMIFS(#REF!,#REF!,$A10,#REF!,"&lt;="&amp;FA$4))*100%/(180-FA$4),FB$4&gt;=$C10,($L10-SUM(#REF!))*100%/(180-FA$4))</f>
        <v>#REF!</v>
      </c>
      <c r="FC10" s="32" t="e" cm="1">
        <f t="array" aca="1" ref="FC10" ca="1">_xlfn.IFS(FC$4&lt;$C10,($L10-SUMIFS(#REF!,#REF!,$A10,#REF!,"&lt;="&amp;FB$4))*100%/(180-FB$4),FC$4&gt;=$C10,($L10-SUM(#REF!))*100%/(180-FB$4))</f>
        <v>#REF!</v>
      </c>
      <c r="FD10" s="32" t="e" cm="1">
        <f t="array" aca="1" ref="FD10" ca="1">_xlfn.IFS(FD$4&lt;$C10,($L10-SUMIFS(#REF!,#REF!,$A10,#REF!,"&lt;="&amp;FC$4))*100%/(180-FC$4),FD$4&gt;=$C10,($L10-SUM(#REF!))*100%/(180-FC$4))</f>
        <v>#REF!</v>
      </c>
      <c r="FE10" s="32" t="e" cm="1">
        <f t="array" aca="1" ref="FE10" ca="1">_xlfn.IFS(FE$4&lt;$C10,($L10-SUMIFS(#REF!,#REF!,$A10,#REF!,"&lt;="&amp;FD$4))*100%/(180-FD$4),FE$4&gt;=$C10,($L10-SUM(#REF!))*100%/(180-FD$4))</f>
        <v>#REF!</v>
      </c>
      <c r="FF10" s="32" t="e" cm="1">
        <f t="array" aca="1" ref="FF10" ca="1">_xlfn.IFS(FF$4&lt;$C10,($L10-SUMIFS(#REF!,#REF!,$A10,#REF!,"&lt;="&amp;FE$4))*100%/(180-FE$4),FF$4&gt;=$C10,($L10-SUM(#REF!))*100%/(180-FE$4))</f>
        <v>#REF!</v>
      </c>
      <c r="FG10" s="32" t="e" cm="1">
        <f t="array" aca="1" ref="FG10" ca="1">_xlfn.IFS(FG$4&lt;$C10,($L10-SUMIFS(#REF!,#REF!,$A10,#REF!,"&lt;="&amp;FF$4))*100%/(180-FF$4),FG$4&gt;=$C10,($L10-SUM(#REF!))*100%/(180-FF$4))</f>
        <v>#REF!</v>
      </c>
      <c r="FH10" s="32" t="e" cm="1">
        <f t="array" aca="1" ref="FH10" ca="1">_xlfn.IFS(FH$4&lt;$C10,($L10-SUMIFS(#REF!,#REF!,$A10,#REF!,"&lt;="&amp;FG$4))*100%/(180-FG$4),FH$4&gt;=$C10,($L10-SUM(#REF!))*100%/(180-FG$4))</f>
        <v>#REF!</v>
      </c>
      <c r="FI10" s="32" t="e" cm="1">
        <f t="array" aca="1" ref="FI10" ca="1">_xlfn.IFS(FI$4&lt;$C10,($L10-SUMIFS(#REF!,#REF!,$A10,#REF!,"&lt;="&amp;FH$4))*100%/(180-FH$4),FI$4&gt;=$C10,($L10-SUM(#REF!))*100%/(180-FH$4))</f>
        <v>#REF!</v>
      </c>
      <c r="FJ10" s="32" t="e" cm="1">
        <f t="array" aca="1" ref="FJ10" ca="1">_xlfn.IFS(FJ$4&lt;$C10,($L10-SUMIFS(#REF!,#REF!,$A10,#REF!,"&lt;="&amp;FI$4))*100%/(180-FI$4),FJ$4&gt;=$C10,($L10-SUM(#REF!))*100%/(180-FI$4))</f>
        <v>#REF!</v>
      </c>
      <c r="FK10" s="32" t="e" cm="1">
        <f t="array" aca="1" ref="FK10" ca="1">_xlfn.IFS(FK$4&lt;$C10,($L10-SUMIFS(#REF!,#REF!,$A10,#REF!,"&lt;="&amp;FJ$4))*100%/(180-FJ$4),FK$4&gt;=$C10,($L10-SUM(#REF!))*100%/(180-FJ$4))</f>
        <v>#REF!</v>
      </c>
      <c r="FL10" s="32" t="e" cm="1">
        <f t="array" aca="1" ref="FL10" ca="1">_xlfn.IFS(FL$4&lt;$C10,($L10-SUMIFS(#REF!,#REF!,$A10,#REF!,"&lt;="&amp;FK$4))*100%/(180-FK$4),FL$4&gt;=$C10,($L10-SUM(#REF!))*100%/(180-FK$4))</f>
        <v>#REF!</v>
      </c>
      <c r="FM10" s="32" t="e" cm="1">
        <f t="array" aca="1" ref="FM10" ca="1">_xlfn.IFS(FM$4&lt;$C10,($L10-SUMIFS(#REF!,#REF!,$A10,#REF!,"&lt;="&amp;FL$4))*100%/(180-FL$4),FM$4&gt;=$C10,($L10-SUM(#REF!))*100%/(180-FL$4))</f>
        <v>#REF!</v>
      </c>
      <c r="FN10" s="32" t="e" cm="1">
        <f t="array" aca="1" ref="FN10" ca="1">_xlfn.IFS(FN$4&lt;$C10,($L10-SUMIFS(#REF!,#REF!,$A10,#REF!,"&lt;="&amp;FM$4))*100%/(180-FM$4),FN$4&gt;=$C10,($L10-SUM(#REF!))*100%/(180-FM$4))</f>
        <v>#REF!</v>
      </c>
      <c r="FO10" s="32" t="e" cm="1">
        <f t="array" aca="1" ref="FO10" ca="1">_xlfn.IFS(FO$4&lt;$C10,($L10-SUMIFS(#REF!,#REF!,$A10,#REF!,"&lt;="&amp;FN$4))*100%/(180-FN$4),FO$4&gt;=$C10,($L10-SUM(#REF!))*100%/(180-FN$4))</f>
        <v>#REF!</v>
      </c>
      <c r="FP10" s="32" t="e" cm="1">
        <f t="array" aca="1" ref="FP10" ca="1">_xlfn.IFS(FP$4&lt;$C10,($L10-SUMIFS(#REF!,#REF!,$A10,#REF!,"&lt;="&amp;FO$4))*100%/(180-FO$4),FP$4&gt;=$C10,($L10-SUM(#REF!))*100%/(180-FO$4))</f>
        <v>#REF!</v>
      </c>
      <c r="FQ10" s="32" t="e" cm="1">
        <f t="array" aca="1" ref="FQ10" ca="1">_xlfn.IFS(FQ$4&lt;$C10,($L10-SUMIFS(#REF!,#REF!,$A10,#REF!,"&lt;="&amp;FP$4))*100%/(180-FP$4),FQ$4&gt;=$C10,($L10-SUM(#REF!))*100%/(180-FP$4))</f>
        <v>#REF!</v>
      </c>
      <c r="FR10" s="32" t="e" cm="1">
        <f t="array" aca="1" ref="FR10" ca="1">_xlfn.IFS(FR$4&lt;$C10,($L10-SUMIFS(#REF!,#REF!,$A10,#REF!,"&lt;="&amp;FQ$4))*100%/(180-FQ$4),FR$4&gt;=$C10,($L10-SUM(#REF!))*100%/(180-FQ$4))</f>
        <v>#REF!</v>
      </c>
      <c r="FS10" s="32" t="e" cm="1">
        <f t="array" aca="1" ref="FS10" ca="1">_xlfn.IFS(FS$4&lt;$C10,($L10-SUMIFS(#REF!,#REF!,$A10,#REF!,"&lt;="&amp;FR$4))*100%/(180-FR$4),FS$4&gt;=$C10,($L10-SUM(#REF!))*100%/(180-FR$4))</f>
        <v>#REF!</v>
      </c>
      <c r="FT10" s="32" t="e" cm="1">
        <f t="array" aca="1" ref="FT10" ca="1">_xlfn.IFS(FT$4&lt;$C10,($L10-SUMIFS(#REF!,#REF!,$A10,#REF!,"&lt;="&amp;FS$4))*100%/(180-FS$4),FT$4&gt;=$C10,($L10-SUM(#REF!))*100%/(180-FS$4))</f>
        <v>#REF!</v>
      </c>
      <c r="FU10" s="32" t="e" cm="1">
        <f t="array" aca="1" ref="FU10" ca="1">_xlfn.IFS(FU$4&lt;$C10,($L10-SUMIFS(#REF!,#REF!,$A10,#REF!,"&lt;="&amp;FT$4))*100%/(180-FT$4),FU$4&gt;=$C10,($L10-SUM(#REF!))*100%/(180-FT$4))</f>
        <v>#REF!</v>
      </c>
      <c r="FV10" s="32" t="e" cm="1">
        <f t="array" aca="1" ref="FV10" ca="1">_xlfn.IFS(FV$4&lt;$C10,($L10-SUMIFS(#REF!,#REF!,$A10,#REF!,"&lt;="&amp;FU$4))*100%/(180-FU$4),FV$4&gt;=$C10,($L10-SUM(#REF!))*100%/(180-FU$4))</f>
        <v>#REF!</v>
      </c>
      <c r="FW10" s="32" t="e" cm="1">
        <f t="array" aca="1" ref="FW10" ca="1">_xlfn.IFS(FW$4&lt;$C10,($L10-SUMIFS(#REF!,#REF!,$A10,#REF!,"&lt;="&amp;FV$4))*100%/(180-FV$4),FW$4&gt;=$C10,($L10-SUM(#REF!))*100%/(180-FV$4))</f>
        <v>#REF!</v>
      </c>
      <c r="FX10" s="32" t="e" cm="1">
        <f t="array" aca="1" ref="FX10" ca="1">_xlfn.IFS(FX$4&lt;$C10,($L10-SUMIFS(#REF!,#REF!,$A10,#REF!,"&lt;="&amp;FW$4))*100%/(180-FW$4),FX$4&gt;=$C10,($L10-SUM(#REF!))*100%/(180-FW$4))</f>
        <v>#REF!</v>
      </c>
      <c r="FY10" s="32" t="e" cm="1">
        <f t="array" aca="1" ref="FY10" ca="1">_xlfn.IFS(FY$4&lt;$C10,($L10-SUMIFS(#REF!,#REF!,$A10,#REF!,"&lt;="&amp;FX$4))*100%/(180-FX$4),FY$4&gt;=$C10,($L10-SUM(#REF!))*100%/(180-FX$4))</f>
        <v>#REF!</v>
      </c>
      <c r="FZ10" s="32" t="e" cm="1">
        <f t="array" aca="1" ref="FZ10" ca="1">_xlfn.IFS(FZ$4&lt;$C10,($L10-SUMIFS(#REF!,#REF!,$A10,#REF!,"&lt;="&amp;FY$4))*100%/(180-FY$4),FZ$4&gt;=$C10,($L10-SUM(#REF!))*100%/(180-FY$4))</f>
        <v>#REF!</v>
      </c>
      <c r="GA10" s="32" t="e" cm="1">
        <f t="array" aca="1" ref="GA10" ca="1">_xlfn.IFS(GA$4&lt;$C10,($L10-SUMIFS(#REF!,#REF!,$A10,#REF!,"&lt;="&amp;FZ$4))*100%/(180-FZ$4),GA$4&gt;=$C10,($L10-SUM(#REF!))*100%/(180-FZ$4))</f>
        <v>#REF!</v>
      </c>
      <c r="GB10" s="32" t="e" cm="1">
        <f t="array" aca="1" ref="GB10" ca="1">_xlfn.IFS(GB$4&lt;$C10,($L10-SUMIFS(#REF!,#REF!,$A10,#REF!,"&lt;="&amp;GA$4))*100%/(180-GA$4),GB$4&gt;=$C10,($L10-SUM(#REF!))*100%/(180-GA$4))</f>
        <v>#REF!</v>
      </c>
      <c r="GC10" s="32" t="e" cm="1">
        <f t="array" aca="1" ref="GC10" ca="1">_xlfn.IFS(GC$4&lt;$C10,($L10-SUMIFS(#REF!,#REF!,$A10,#REF!,"&lt;="&amp;GB$4))*100%/(180-GB$4),GC$4&gt;=$C10,($L10-SUM(#REF!))*100%/(180-GB$4))</f>
        <v>#REF!</v>
      </c>
      <c r="GD10" s="32" t="e" cm="1">
        <f t="array" aca="1" ref="GD10" ca="1">_xlfn.IFS(GD$4&lt;$C10,($L10-SUMIFS(#REF!,#REF!,$A10,#REF!,"&lt;="&amp;GC$4))*100%/(180-GC$4),GD$4&gt;=$C10,($L10-SUM(#REF!))*100%/(180-GC$4))</f>
        <v>#REF!</v>
      </c>
      <c r="GE10" s="32" t="e" cm="1">
        <f t="array" aca="1" ref="GE10" ca="1">_xlfn.IFS(GE$4&lt;$C10,($L10-SUMIFS(#REF!,#REF!,$A10,#REF!,"&lt;="&amp;GD$4))*100%/(180-GD$4),GE$4&gt;=$C10,($L10-SUM(#REF!))*100%/(180-GD$4))</f>
        <v>#REF!</v>
      </c>
      <c r="GF10" s="32" t="e" cm="1">
        <f t="array" aca="1" ref="GF10" ca="1">_xlfn.IFS(GF$4&lt;$C10,($L10-SUMIFS(#REF!,#REF!,$A10,#REF!,"&lt;="&amp;GE$4))*100%/(180-GE$4),GF$4&gt;=$C10,($L10-SUM(#REF!))*100%/(180-GE$4))</f>
        <v>#REF!</v>
      </c>
      <c r="GG10" s="32" t="e" cm="1">
        <f t="array" aca="1" ref="GG10" ca="1">_xlfn.IFS(GG$4&lt;$C10,($L10-SUMIFS(#REF!,#REF!,$A10,#REF!,"&lt;="&amp;GF$4))*100%/(180-GF$4),GG$4&gt;=$C10,($L10-SUM(#REF!))*100%/(180-GF$4))</f>
        <v>#REF!</v>
      </c>
      <c r="GH10" s="32" t="e" cm="1">
        <f t="array" aca="1" ref="GH10" ca="1">_xlfn.IFS(GH$4&lt;$C10,($L10-SUMIFS(#REF!,#REF!,$A10,#REF!,"&lt;="&amp;GG$4))*100%/(180-GG$4),GH$4&gt;=$C10,($L10-SUM(#REF!))*100%/(180-GG$4))</f>
        <v>#REF!</v>
      </c>
      <c r="GI10" s="32" t="e" cm="1">
        <f t="array" aca="1" ref="GI10" ca="1">_xlfn.IFS(GI$4&lt;$C10,($L10-SUMIFS(#REF!,#REF!,$A10,#REF!,"&lt;="&amp;GH$4))*100%/(180-GH$4),GI$4&gt;=$C10,($L10-SUM(#REF!))*100%/(180-GH$4))</f>
        <v>#REF!</v>
      </c>
      <c r="GJ10" s="32" t="e" cm="1">
        <f t="array" aca="1" ref="GJ10" ca="1">_xlfn.IFS(GJ$4&lt;$C10,($L10-SUMIFS(#REF!,#REF!,$A10,#REF!,"&lt;="&amp;GI$4))*100%/(180-GI$4),GJ$4&gt;=$C10,($L10-SUM(#REF!))*100%/(180-GI$4))</f>
        <v>#REF!</v>
      </c>
      <c r="GK10" s="32" t="e" cm="1">
        <f t="array" aca="1" ref="GK10" ca="1">_xlfn.IFS(GK$4&lt;$C10,($L10-SUMIFS(#REF!,#REF!,$A10,#REF!,"&lt;="&amp;GJ$4))*100%/(180-GJ$4),GK$4&gt;=$C10,($L10-SUM(#REF!))*100%/(180-GJ$4))</f>
        <v>#REF!</v>
      </c>
      <c r="GL10" s="32" t="e" cm="1">
        <f t="array" aca="1" ref="GL10" ca="1">_xlfn.IFS(GL$4&lt;$C10,($L10-SUMIFS(#REF!,#REF!,$A10,#REF!,"&lt;="&amp;GK$4))*100%/(180-GK$4),GL$4&gt;=$C10,($L10-SUM(#REF!))*100%/(180-GK$4))</f>
        <v>#REF!</v>
      </c>
      <c r="GM10" s="32" t="e" cm="1">
        <f t="array" aca="1" ref="GM10" ca="1">_xlfn.IFS(GM$4&lt;$C10,($L10-SUMIFS(#REF!,#REF!,$A10,#REF!,"&lt;="&amp;GL$4))*100%/(180-GL$4),GM$4&gt;=$C10,($L10-SUM(#REF!))*100%/(180-GL$4))</f>
        <v>#REF!</v>
      </c>
    </row>
    <row r="11" spans="1:195" x14ac:dyDescent="0.25">
      <c r="A11" s="8" t="s">
        <v>19</v>
      </c>
      <c r="B11" s="19">
        <v>46170</v>
      </c>
      <c r="C11" s="8">
        <f t="shared" ca="1" si="0"/>
        <v>29</v>
      </c>
      <c r="D11" s="8" t="str" cm="1">
        <f t="array" ref="D11" ca="1">_xlfn.IFS(AND(TODAY()-B11&lt;=30,TODAY()-B11&gt;=0),"新品期",AND(TODAY()-B11&gt;=31,TODAY()-B11&lt;=120),"热销期",AND(TODAY()-B11&gt;=121,TODAY()-B11&lt;=180),"清货期",TODAY()-B11&gt;180,"滞销")</f>
        <v>新品期</v>
      </c>
      <c r="E11" s="8">
        <f t="shared" si="1"/>
        <v>780</v>
      </c>
      <c r="F11" s="8"/>
      <c r="G11" s="8">
        <f>SUMIF([1]销售表!I:I,A11,[1]销售表!J:J)</f>
        <v>220</v>
      </c>
      <c r="H11" s="9">
        <f t="shared" si="2"/>
        <v>0.22</v>
      </c>
      <c r="I11" s="8"/>
      <c r="J11" s="8">
        <f>SUMIFS([1]销售表!J:J,[1]销售表!I:I,A11,[1]销售表!E:E,"可取")</f>
        <v>49</v>
      </c>
      <c r="K11" s="8"/>
      <c r="L11" s="8">
        <v>1000</v>
      </c>
      <c r="M11" s="10">
        <f>_xlfn.XLOOKUP(A11,[1]销售表!I:I,[1]销售表!J:J,0,0,-1)</f>
        <v>6</v>
      </c>
      <c r="N11" s="10" cm="1">
        <f t="array" ref="N11" ca="1">IF(C11&gt;180,"0",INDEX(P11:GM11,C11))</f>
        <v>4.4444444444444402</v>
      </c>
      <c r="O11" s="20" t="s">
        <v>23</v>
      </c>
      <c r="P11" s="21">
        <f t="shared" si="7"/>
        <v>4.4444444444444402</v>
      </c>
      <c r="Q11" s="21">
        <f t="shared" ref="Q11:AS11" si="12">$L11*80%/180</f>
        <v>4.4444444444444402</v>
      </c>
      <c r="R11" s="21">
        <f t="shared" si="12"/>
        <v>4.4444444444444402</v>
      </c>
      <c r="S11" s="21">
        <f t="shared" si="12"/>
        <v>4.4444444444444402</v>
      </c>
      <c r="T11" s="21">
        <f t="shared" si="12"/>
        <v>4.4444444444444402</v>
      </c>
      <c r="U11" s="21">
        <f t="shared" si="12"/>
        <v>4.4444444444444402</v>
      </c>
      <c r="V11" s="21">
        <f t="shared" si="12"/>
        <v>4.4444444444444402</v>
      </c>
      <c r="W11" s="21">
        <f t="shared" si="12"/>
        <v>4.4444444444444402</v>
      </c>
      <c r="X11" s="21">
        <f t="shared" si="12"/>
        <v>4.4444444444444402</v>
      </c>
      <c r="Y11" s="21">
        <f t="shared" si="12"/>
        <v>4.4444444444444402</v>
      </c>
      <c r="Z11" s="21">
        <f t="shared" si="12"/>
        <v>4.4444444444444402</v>
      </c>
      <c r="AA11" s="21">
        <f t="shared" si="12"/>
        <v>4.4444444444444402</v>
      </c>
      <c r="AB11" s="21">
        <f t="shared" si="12"/>
        <v>4.4444444444444402</v>
      </c>
      <c r="AC11" s="21">
        <f t="shared" si="12"/>
        <v>4.4444444444444402</v>
      </c>
      <c r="AD11" s="21">
        <f t="shared" si="12"/>
        <v>4.4444444444444402</v>
      </c>
      <c r="AE11" s="21">
        <f t="shared" si="12"/>
        <v>4.4444444444444402</v>
      </c>
      <c r="AF11" s="21">
        <f t="shared" si="12"/>
        <v>4.4444444444444402</v>
      </c>
      <c r="AG11" s="21">
        <f t="shared" si="12"/>
        <v>4.4444444444444402</v>
      </c>
      <c r="AH11" s="21">
        <f t="shared" si="12"/>
        <v>4.4444444444444402</v>
      </c>
      <c r="AI11" s="21">
        <f t="shared" si="12"/>
        <v>4.4444444444444402</v>
      </c>
      <c r="AJ11" s="21">
        <f t="shared" si="12"/>
        <v>4.4444444444444402</v>
      </c>
      <c r="AK11" s="21">
        <f t="shared" si="12"/>
        <v>4.4444444444444402</v>
      </c>
      <c r="AL11" s="21">
        <f t="shared" si="12"/>
        <v>4.4444444444444402</v>
      </c>
      <c r="AM11" s="21">
        <f t="shared" si="12"/>
        <v>4.4444444444444402</v>
      </c>
      <c r="AN11" s="21">
        <f t="shared" si="12"/>
        <v>4.4444444444444402</v>
      </c>
      <c r="AO11" s="21">
        <f t="shared" si="12"/>
        <v>4.4444444444444402</v>
      </c>
      <c r="AP11" s="21">
        <f t="shared" si="12"/>
        <v>4.4444444444444402</v>
      </c>
      <c r="AQ11" s="21">
        <f t="shared" si="12"/>
        <v>4.4444444444444402</v>
      </c>
      <c r="AR11" s="21">
        <f t="shared" si="12"/>
        <v>4.4444444444444402</v>
      </c>
      <c r="AS11" s="21">
        <f t="shared" si="12"/>
        <v>4.4444444444444402</v>
      </c>
      <c r="AT11" s="21">
        <f t="shared" ref="AT11:DE11" si="13">$L11*110%/180</f>
        <v>6.1111111111111098</v>
      </c>
      <c r="AU11" s="21">
        <f t="shared" si="13"/>
        <v>6.1111111111111098</v>
      </c>
      <c r="AV11" s="21">
        <f t="shared" si="13"/>
        <v>6.1111111111111098</v>
      </c>
      <c r="AW11" s="21">
        <f t="shared" si="13"/>
        <v>6.1111111111111098</v>
      </c>
      <c r="AX11" s="21">
        <f t="shared" si="13"/>
        <v>6.1111111111111098</v>
      </c>
      <c r="AY11" s="21">
        <f t="shared" si="13"/>
        <v>6.1111111111111098</v>
      </c>
      <c r="AZ11" s="21">
        <f t="shared" si="13"/>
        <v>6.1111111111111098</v>
      </c>
      <c r="BA11" s="21">
        <f t="shared" si="13"/>
        <v>6.1111111111111098</v>
      </c>
      <c r="BB11" s="21">
        <f t="shared" si="13"/>
        <v>6.1111111111111098</v>
      </c>
      <c r="BC11" s="21">
        <f t="shared" si="13"/>
        <v>6.1111111111111098</v>
      </c>
      <c r="BD11" s="21">
        <f t="shared" si="13"/>
        <v>6.1111111111111098</v>
      </c>
      <c r="BE11" s="21">
        <f t="shared" si="13"/>
        <v>6.1111111111111098</v>
      </c>
      <c r="BF11" s="21">
        <f t="shared" si="13"/>
        <v>6.1111111111111098</v>
      </c>
      <c r="BG11" s="21">
        <f t="shared" si="13"/>
        <v>6.1111111111111098</v>
      </c>
      <c r="BH11" s="21">
        <f t="shared" si="13"/>
        <v>6.1111111111111098</v>
      </c>
      <c r="BI11" s="21">
        <f t="shared" si="13"/>
        <v>6.1111111111111098</v>
      </c>
      <c r="BJ11" s="21">
        <f t="shared" si="13"/>
        <v>6.1111111111111098</v>
      </c>
      <c r="BK11" s="21">
        <f t="shared" si="13"/>
        <v>6.1111111111111098</v>
      </c>
      <c r="BL11" s="21">
        <f t="shared" si="13"/>
        <v>6.1111111111111098</v>
      </c>
      <c r="BM11" s="21">
        <f t="shared" si="13"/>
        <v>6.1111111111111098</v>
      </c>
      <c r="BN11" s="21">
        <f t="shared" si="13"/>
        <v>6.1111111111111098</v>
      </c>
      <c r="BO11" s="21">
        <f t="shared" si="13"/>
        <v>6.1111111111111098</v>
      </c>
      <c r="BP11" s="21">
        <f t="shared" si="13"/>
        <v>6.1111111111111098</v>
      </c>
      <c r="BQ11" s="21">
        <f t="shared" si="13"/>
        <v>6.1111111111111098</v>
      </c>
      <c r="BR11" s="21">
        <f t="shared" si="13"/>
        <v>6.1111111111111098</v>
      </c>
      <c r="BS11" s="21">
        <f t="shared" si="13"/>
        <v>6.1111111111111098</v>
      </c>
      <c r="BT11" s="21">
        <f t="shared" si="13"/>
        <v>6.1111111111111098</v>
      </c>
      <c r="BU11" s="21">
        <f t="shared" si="13"/>
        <v>6.1111111111111098</v>
      </c>
      <c r="BV11" s="21">
        <f t="shared" si="13"/>
        <v>6.1111111111111098</v>
      </c>
      <c r="BW11" s="21">
        <f t="shared" si="13"/>
        <v>6.1111111111111098</v>
      </c>
      <c r="BX11" s="21">
        <f t="shared" si="13"/>
        <v>6.1111111111111098</v>
      </c>
      <c r="BY11" s="21">
        <f t="shared" si="13"/>
        <v>6.1111111111111098</v>
      </c>
      <c r="BZ11" s="21">
        <f t="shared" si="13"/>
        <v>6.1111111111111098</v>
      </c>
      <c r="CA11" s="21">
        <f t="shared" si="13"/>
        <v>6.1111111111111098</v>
      </c>
      <c r="CB11" s="21">
        <f t="shared" si="13"/>
        <v>6.1111111111111098</v>
      </c>
      <c r="CC11" s="21">
        <f t="shared" si="13"/>
        <v>6.1111111111111098</v>
      </c>
      <c r="CD11" s="21">
        <f t="shared" si="13"/>
        <v>6.1111111111111098</v>
      </c>
      <c r="CE11" s="21">
        <f t="shared" si="13"/>
        <v>6.1111111111111098</v>
      </c>
      <c r="CF11" s="21">
        <f t="shared" si="13"/>
        <v>6.1111111111111098</v>
      </c>
      <c r="CG11" s="21">
        <f t="shared" si="13"/>
        <v>6.1111111111111098</v>
      </c>
      <c r="CH11" s="21">
        <f t="shared" si="13"/>
        <v>6.1111111111111098</v>
      </c>
      <c r="CI11" s="21">
        <f t="shared" si="13"/>
        <v>6.1111111111111098</v>
      </c>
      <c r="CJ11" s="21">
        <f t="shared" si="13"/>
        <v>6.1111111111111098</v>
      </c>
      <c r="CK11" s="21">
        <f t="shared" si="13"/>
        <v>6.1111111111111098</v>
      </c>
      <c r="CL11" s="21">
        <f t="shared" si="13"/>
        <v>6.1111111111111098</v>
      </c>
      <c r="CM11" s="21">
        <f t="shared" si="13"/>
        <v>6.1111111111111098</v>
      </c>
      <c r="CN11" s="21">
        <f t="shared" si="13"/>
        <v>6.1111111111111098</v>
      </c>
      <c r="CO11" s="21">
        <f t="shared" si="13"/>
        <v>6.1111111111111098</v>
      </c>
      <c r="CP11" s="21">
        <f t="shared" si="13"/>
        <v>6.1111111111111098</v>
      </c>
      <c r="CQ11" s="21">
        <f t="shared" si="13"/>
        <v>6.1111111111111098</v>
      </c>
      <c r="CR11" s="21">
        <f t="shared" si="13"/>
        <v>6.1111111111111098</v>
      </c>
      <c r="CS11" s="21">
        <f t="shared" si="13"/>
        <v>6.1111111111111098</v>
      </c>
      <c r="CT11" s="21">
        <f t="shared" si="13"/>
        <v>6.1111111111111098</v>
      </c>
      <c r="CU11" s="21">
        <f t="shared" si="13"/>
        <v>6.1111111111111098</v>
      </c>
      <c r="CV11" s="21">
        <f t="shared" si="13"/>
        <v>6.1111111111111098</v>
      </c>
      <c r="CW11" s="21">
        <f t="shared" si="13"/>
        <v>6.1111111111111098</v>
      </c>
      <c r="CX11" s="21">
        <f t="shared" si="13"/>
        <v>6.1111111111111098</v>
      </c>
      <c r="CY11" s="21">
        <f t="shared" si="13"/>
        <v>6.1111111111111098</v>
      </c>
      <c r="CZ11" s="21">
        <f t="shared" si="13"/>
        <v>6.1111111111111098</v>
      </c>
      <c r="DA11" s="21">
        <f t="shared" si="13"/>
        <v>6.1111111111111098</v>
      </c>
      <c r="DB11" s="21">
        <f t="shared" si="13"/>
        <v>6.1111111111111098</v>
      </c>
      <c r="DC11" s="21">
        <f t="shared" si="13"/>
        <v>6.1111111111111098</v>
      </c>
      <c r="DD11" s="21">
        <f t="shared" si="13"/>
        <v>6.1111111111111098</v>
      </c>
      <c r="DE11" s="21">
        <f t="shared" si="13"/>
        <v>6.1111111111111098</v>
      </c>
      <c r="DF11" s="21">
        <f t="shared" ref="DF11:EE11" si="14">$L11*110%/180</f>
        <v>6.1111111111111098</v>
      </c>
      <c r="DG11" s="21">
        <f t="shared" si="14"/>
        <v>6.1111111111111098</v>
      </c>
      <c r="DH11" s="21">
        <f t="shared" si="14"/>
        <v>6.1111111111111098</v>
      </c>
      <c r="DI11" s="21">
        <f t="shared" si="14"/>
        <v>6.1111111111111098</v>
      </c>
      <c r="DJ11" s="21">
        <f t="shared" si="14"/>
        <v>6.1111111111111098</v>
      </c>
      <c r="DK11" s="21">
        <f t="shared" si="14"/>
        <v>6.1111111111111098</v>
      </c>
      <c r="DL11" s="21">
        <f t="shared" si="14"/>
        <v>6.1111111111111098</v>
      </c>
      <c r="DM11" s="21">
        <f t="shared" si="14"/>
        <v>6.1111111111111098</v>
      </c>
      <c r="DN11" s="21">
        <f t="shared" si="14"/>
        <v>6.1111111111111098</v>
      </c>
      <c r="DO11" s="21">
        <f t="shared" si="14"/>
        <v>6.1111111111111098</v>
      </c>
      <c r="DP11" s="21">
        <f t="shared" si="14"/>
        <v>6.1111111111111098</v>
      </c>
      <c r="DQ11" s="21">
        <f t="shared" si="14"/>
        <v>6.1111111111111098</v>
      </c>
      <c r="DR11" s="21">
        <f t="shared" si="14"/>
        <v>6.1111111111111098</v>
      </c>
      <c r="DS11" s="21">
        <f t="shared" si="14"/>
        <v>6.1111111111111098</v>
      </c>
      <c r="DT11" s="21">
        <f t="shared" si="14"/>
        <v>6.1111111111111098</v>
      </c>
      <c r="DU11" s="21">
        <f t="shared" si="14"/>
        <v>6.1111111111111098</v>
      </c>
      <c r="DV11" s="21">
        <f t="shared" si="14"/>
        <v>6.1111111111111098</v>
      </c>
      <c r="DW11" s="21">
        <f t="shared" si="14"/>
        <v>6.1111111111111098</v>
      </c>
      <c r="DX11" s="21">
        <f t="shared" si="14"/>
        <v>6.1111111111111098</v>
      </c>
      <c r="DY11" s="21">
        <f t="shared" si="14"/>
        <v>6.1111111111111098</v>
      </c>
      <c r="DZ11" s="21">
        <f t="shared" si="14"/>
        <v>6.1111111111111098</v>
      </c>
      <c r="EA11" s="21">
        <f t="shared" si="14"/>
        <v>6.1111111111111098</v>
      </c>
      <c r="EB11" s="21">
        <f t="shared" si="14"/>
        <v>6.1111111111111098</v>
      </c>
      <c r="EC11" s="21">
        <f t="shared" si="14"/>
        <v>6.1111111111111098</v>
      </c>
      <c r="ED11" s="21">
        <f t="shared" si="14"/>
        <v>6.1111111111111098</v>
      </c>
      <c r="EE11" s="21">
        <f t="shared" si="14"/>
        <v>6.1111111111111098</v>
      </c>
      <c r="EF11" s="21">
        <f t="shared" ref="EF11:GM11" si="15">$L11*100%/180</f>
        <v>5.5555555555555598</v>
      </c>
      <c r="EG11" s="21">
        <f t="shared" si="15"/>
        <v>5.5555555555555598</v>
      </c>
      <c r="EH11" s="21">
        <f t="shared" si="15"/>
        <v>5.5555555555555598</v>
      </c>
      <c r="EI11" s="21">
        <f t="shared" si="15"/>
        <v>5.5555555555555598</v>
      </c>
      <c r="EJ11" s="21">
        <f t="shared" si="15"/>
        <v>5.5555555555555598</v>
      </c>
      <c r="EK11" s="21">
        <f t="shared" si="15"/>
        <v>5.5555555555555598</v>
      </c>
      <c r="EL11" s="21">
        <f t="shared" si="15"/>
        <v>5.5555555555555598</v>
      </c>
      <c r="EM11" s="21">
        <f t="shared" si="15"/>
        <v>5.5555555555555598</v>
      </c>
      <c r="EN11" s="21">
        <f t="shared" si="15"/>
        <v>5.5555555555555598</v>
      </c>
      <c r="EO11" s="21">
        <f t="shared" si="15"/>
        <v>5.5555555555555598</v>
      </c>
      <c r="EP11" s="21">
        <f t="shared" si="15"/>
        <v>5.5555555555555598</v>
      </c>
      <c r="EQ11" s="21">
        <f t="shared" si="15"/>
        <v>5.5555555555555598</v>
      </c>
      <c r="ER11" s="21">
        <f t="shared" si="15"/>
        <v>5.5555555555555598</v>
      </c>
      <c r="ES11" s="21">
        <f t="shared" si="15"/>
        <v>5.5555555555555598</v>
      </c>
      <c r="ET11" s="21">
        <f t="shared" si="15"/>
        <v>5.5555555555555598</v>
      </c>
      <c r="EU11" s="21">
        <f t="shared" si="15"/>
        <v>5.5555555555555598</v>
      </c>
      <c r="EV11" s="21">
        <f t="shared" si="15"/>
        <v>5.5555555555555598</v>
      </c>
      <c r="EW11" s="21">
        <f t="shared" si="15"/>
        <v>5.5555555555555598</v>
      </c>
      <c r="EX11" s="21">
        <f t="shared" si="15"/>
        <v>5.5555555555555598</v>
      </c>
      <c r="EY11" s="21">
        <f t="shared" si="15"/>
        <v>5.5555555555555598</v>
      </c>
      <c r="EZ11" s="21">
        <f t="shared" si="15"/>
        <v>5.5555555555555598</v>
      </c>
      <c r="FA11" s="21">
        <f t="shared" si="15"/>
        <v>5.5555555555555598</v>
      </c>
      <c r="FB11" s="21">
        <f t="shared" si="15"/>
        <v>5.5555555555555598</v>
      </c>
      <c r="FC11" s="21">
        <f t="shared" si="15"/>
        <v>5.5555555555555598</v>
      </c>
      <c r="FD11" s="21">
        <f t="shared" si="15"/>
        <v>5.5555555555555598</v>
      </c>
      <c r="FE11" s="21">
        <f t="shared" si="15"/>
        <v>5.5555555555555598</v>
      </c>
      <c r="FF11" s="21">
        <f t="shared" si="15"/>
        <v>5.5555555555555598</v>
      </c>
      <c r="FG11" s="21">
        <f t="shared" si="15"/>
        <v>5.5555555555555598</v>
      </c>
      <c r="FH11" s="21">
        <f t="shared" si="15"/>
        <v>5.5555555555555598</v>
      </c>
      <c r="FI11" s="21">
        <f t="shared" si="15"/>
        <v>5.5555555555555598</v>
      </c>
      <c r="FJ11" s="21">
        <f t="shared" si="15"/>
        <v>5.5555555555555598</v>
      </c>
      <c r="FK11" s="21">
        <f t="shared" si="15"/>
        <v>5.5555555555555598</v>
      </c>
      <c r="FL11" s="21">
        <f t="shared" si="15"/>
        <v>5.5555555555555598</v>
      </c>
      <c r="FM11" s="21">
        <f t="shared" si="15"/>
        <v>5.5555555555555598</v>
      </c>
      <c r="FN11" s="21">
        <f t="shared" si="15"/>
        <v>5.5555555555555598</v>
      </c>
      <c r="FO11" s="21">
        <f t="shared" si="15"/>
        <v>5.5555555555555598</v>
      </c>
      <c r="FP11" s="21">
        <f t="shared" si="15"/>
        <v>5.5555555555555598</v>
      </c>
      <c r="FQ11" s="21">
        <f t="shared" si="15"/>
        <v>5.5555555555555598</v>
      </c>
      <c r="FR11" s="21">
        <f t="shared" si="15"/>
        <v>5.5555555555555598</v>
      </c>
      <c r="FS11" s="21">
        <f t="shared" si="15"/>
        <v>5.5555555555555598</v>
      </c>
      <c r="FT11" s="21">
        <f t="shared" si="15"/>
        <v>5.5555555555555598</v>
      </c>
      <c r="FU11" s="21">
        <f t="shared" si="15"/>
        <v>5.5555555555555598</v>
      </c>
      <c r="FV11" s="21">
        <f t="shared" si="15"/>
        <v>5.5555555555555598</v>
      </c>
      <c r="FW11" s="21">
        <f t="shared" si="15"/>
        <v>5.5555555555555598</v>
      </c>
      <c r="FX11" s="21">
        <f t="shared" si="15"/>
        <v>5.5555555555555598</v>
      </c>
      <c r="FY11" s="21">
        <f t="shared" si="15"/>
        <v>5.5555555555555598</v>
      </c>
      <c r="FZ11" s="21">
        <f t="shared" si="15"/>
        <v>5.5555555555555598</v>
      </c>
      <c r="GA11" s="21">
        <f t="shared" si="15"/>
        <v>5.5555555555555598</v>
      </c>
      <c r="GB11" s="21">
        <f t="shared" si="15"/>
        <v>5.5555555555555598</v>
      </c>
      <c r="GC11" s="21">
        <f t="shared" si="15"/>
        <v>5.5555555555555598</v>
      </c>
      <c r="GD11" s="21">
        <f t="shared" si="15"/>
        <v>5.5555555555555598</v>
      </c>
      <c r="GE11" s="21">
        <f t="shared" si="15"/>
        <v>5.5555555555555598</v>
      </c>
      <c r="GF11" s="21">
        <f t="shared" si="15"/>
        <v>5.5555555555555598</v>
      </c>
      <c r="GG11" s="21">
        <f t="shared" si="15"/>
        <v>5.5555555555555598</v>
      </c>
      <c r="GH11" s="21">
        <f t="shared" si="15"/>
        <v>5.5555555555555598</v>
      </c>
      <c r="GI11" s="21">
        <f t="shared" si="15"/>
        <v>5.5555555555555598</v>
      </c>
      <c r="GJ11" s="21">
        <f t="shared" si="15"/>
        <v>5.5555555555555598</v>
      </c>
      <c r="GK11" s="21">
        <f t="shared" si="15"/>
        <v>5.5555555555555598</v>
      </c>
      <c r="GL11" s="21">
        <f t="shared" si="15"/>
        <v>5.5555555555555598</v>
      </c>
      <c r="GM11" s="21">
        <f t="shared" si="15"/>
        <v>5.5555555555555598</v>
      </c>
    </row>
    <row r="12" spans="1:195" x14ac:dyDescent="0.25">
      <c r="A12" s="8" t="s">
        <v>19</v>
      </c>
      <c r="B12" s="19">
        <v>46170</v>
      </c>
      <c r="C12" s="8">
        <f ca="1">TODAY()-B12+1</f>
        <v>29</v>
      </c>
      <c r="D12" s="8" t="str" cm="1">
        <f t="array" ref="D12" ca="1">_xlfn.IFS(AND(TODAY()-B12&lt;=30,TODAY()-B12&gt;=0),"新品期",AND(TODAY()-B12&gt;=31,TODAY()-B12&lt;=120),"热销期",AND(TODAY()-B12&gt;=121,TODAY()-B12&lt;=180),"清货期",TODAY()-B12&gt;180,"滞销")</f>
        <v>新品期</v>
      </c>
      <c r="E12" s="8">
        <f t="shared" ref="E12:E18" si="16">L12-G12</f>
        <v>780</v>
      </c>
      <c r="F12" s="8"/>
      <c r="G12" s="8">
        <f>SUMIF([1]销售表!I:I,A12,[1]销售表!J:J)</f>
        <v>220</v>
      </c>
      <c r="H12" s="9">
        <f t="shared" ref="H12:H18" si="17">G12/L12</f>
        <v>0.22</v>
      </c>
      <c r="I12" s="8"/>
      <c r="J12" s="8">
        <f>SUMIFS([1]销售表!J:J,[1]销售表!I:I,A12,[1]销售表!E:E,"可取")</f>
        <v>49</v>
      </c>
      <c r="K12" s="8"/>
      <c r="L12" s="8">
        <v>1000</v>
      </c>
      <c r="M12" s="10">
        <f>_xlfn.XLOOKUP(A12,[1]销售表!I:I,[1]销售表!J:J,0,0,-1)</f>
        <v>6</v>
      </c>
      <c r="N12" s="10" t="e" cm="1">
        <f t="array" ref="N12" ca="1">IF(C12&gt;180,"0",INDEX(P12:GM12,C12))</f>
        <v>#REF!</v>
      </c>
      <c r="O12" s="20" t="s">
        <v>24</v>
      </c>
      <c r="P12" s="21" t="e">
        <f>SUMIFS(#REF!,#REF!,$A12,#REF!,$P$4)</f>
        <v>#REF!</v>
      </c>
      <c r="Q12" s="21" t="e">
        <f ca="1">IF($C12&gt;Q$4,SUMIFS(#REF!,#REF!,$A12,#REF!,Q$4),($L12-SUM($P12))*80%/(180-P$4))</f>
        <v>#REF!</v>
      </c>
      <c r="R12" s="21" t="e">
        <f ca="1">IF($C12&gt;R$4,SUMIFS(#REF!,#REF!,$A12,#REF!,R$4),($L12-SUM($P12:Q12))*80%/(180-Q$4))</f>
        <v>#REF!</v>
      </c>
      <c r="S12" s="21" t="e">
        <f ca="1">IF($C12&gt;S$4,SUMIFS(#REF!,#REF!,$A12,#REF!,S$4),($L12-SUM($P12:R12))*80%/(180-R$4))</f>
        <v>#REF!</v>
      </c>
      <c r="T12" s="21" t="e">
        <f ca="1">IF($C12&gt;T$4,SUMIFS(#REF!,#REF!,$A12,#REF!,T$4),($L12-SUM($P12:S12))*80%/(180-S$4))</f>
        <v>#REF!</v>
      </c>
      <c r="U12" s="21" t="e">
        <f ca="1">IF($C12&gt;U$4,SUMIFS(#REF!,#REF!,$A12,#REF!,U$4),($L12-SUM($P12:T12))*80%/(180-T$4))</f>
        <v>#REF!</v>
      </c>
      <c r="V12" s="21" t="e">
        <f ca="1">IF($C12&gt;V$4,SUMIFS(#REF!,#REF!,$A12,#REF!,V$4),($L12-SUM($P12:U12))*80%/(180-U$4))</f>
        <v>#REF!</v>
      </c>
      <c r="W12" s="21" t="e">
        <f ca="1">IF($C12&gt;W$4,SUMIFS(#REF!,#REF!,$A12,#REF!,W$4),($L12-SUM($P12:V12))*80%/(180-V$4))</f>
        <v>#REF!</v>
      </c>
      <c r="X12" s="21" t="e">
        <f ca="1">IF($C12&gt;X$4,SUMIFS(#REF!,#REF!,$A12,#REF!,X$4),($L12-SUM($P12:W12))*80%/(180-W$4))</f>
        <v>#REF!</v>
      </c>
      <c r="Y12" s="21" t="e">
        <f ca="1">IF($C12&gt;Y$4,SUMIFS(#REF!,#REF!,$A12,#REF!,Y$4),($L12-SUM($P12:X12))*80%/(180-X$4))</f>
        <v>#REF!</v>
      </c>
      <c r="Z12" s="21" t="e">
        <f ca="1">IF($C12&gt;Z$4,SUMIFS(#REF!,#REF!,$A12,#REF!,Z$4),($L12-SUM($P12:Y12))*80%/(180-Y$4))</f>
        <v>#REF!</v>
      </c>
      <c r="AA12" s="21" t="e">
        <f ca="1">IF($C12&gt;AA$4,SUMIFS(#REF!,#REF!,$A12,#REF!,AA$4),($L12-SUM($P12:Z12))*80%/(180-Z$4))</f>
        <v>#REF!</v>
      </c>
      <c r="AB12" s="21" t="e">
        <f ca="1">IF($C12&gt;AB$4,SUMIFS(#REF!,#REF!,$A12,#REF!,AB$4),($L12-SUM($P12:AA12))*80%/(180-AA$4))</f>
        <v>#REF!</v>
      </c>
      <c r="AC12" s="21" t="e">
        <f ca="1">IF($C12&gt;AC$4,SUMIFS(#REF!,#REF!,$A12,#REF!,AC$4),($L12-SUM($P12:AB12))*80%/(180-AB$4))</f>
        <v>#REF!</v>
      </c>
      <c r="AD12" s="21" t="e">
        <f ca="1">IF($C12&gt;AD$4,SUMIFS(#REF!,#REF!,$A12,#REF!,AD$4),($L12-SUM($P12:AC12))*80%/(180-AC$4))</f>
        <v>#REF!</v>
      </c>
      <c r="AE12" s="21" t="e">
        <f ca="1">IF($C12&gt;AE$4,SUMIFS(#REF!,#REF!,$A12,#REF!,AE$4),($L12-SUM($P12:AD12))*80%/(180-AD$4))</f>
        <v>#REF!</v>
      </c>
      <c r="AF12" s="21" t="e">
        <f ca="1">IF($C12&gt;AF$4,SUMIFS(#REF!,#REF!,$A12,#REF!,AF$4),($L12-SUM($P12:AE12))*80%/(180-AE$4))</f>
        <v>#REF!</v>
      </c>
      <c r="AG12" s="21" t="e">
        <f ca="1">IF($C12&gt;AG$4,SUMIFS(#REF!,#REF!,$A12,#REF!,AG$4),($L12-SUM($P12:AF12))*80%/(180-AF$4))</f>
        <v>#REF!</v>
      </c>
      <c r="AH12" s="21" t="e">
        <f ca="1">IF($C12&gt;AH$4,SUMIFS(#REF!,#REF!,$A12,#REF!,AH$4),($L12-SUM($P12:AG12))*80%/(180-AG$4))</f>
        <v>#REF!</v>
      </c>
      <c r="AI12" s="21" t="e">
        <f ca="1">IF($C12&gt;AI$4,SUMIFS(#REF!,#REF!,$A12,#REF!,AI$4),($L12-SUM($P12:AH12))*80%/(180-AH$4))</f>
        <v>#REF!</v>
      </c>
      <c r="AJ12" s="21" t="e">
        <f ca="1">IF($C12&gt;AJ$4,SUMIFS(#REF!,#REF!,$A12,#REF!,AJ$4),($L12-SUM($P12:AI12))*80%/(180-AI$4))</f>
        <v>#REF!</v>
      </c>
      <c r="AK12" s="21" t="e">
        <f ca="1">IF($C12&gt;AK$4,SUMIFS(#REF!,#REF!,$A12,#REF!,AK$4),($L12-SUM($P12:AJ12))*80%/(180-AJ$4))</f>
        <v>#REF!</v>
      </c>
      <c r="AL12" s="21" t="e">
        <f ca="1">IF($C12&gt;AL$4,SUMIFS(#REF!,#REF!,$A12,#REF!,AL$4),($L12-SUM($P12:AK12))*80%/(180-AK$4))</f>
        <v>#REF!</v>
      </c>
      <c r="AM12" s="21" t="e">
        <f ca="1">IF($C12&gt;AM$4,SUMIFS(#REF!,#REF!,$A12,#REF!,AM$4),($L12-SUM($P12:AL12))*80%/(180-AL$4))</f>
        <v>#REF!</v>
      </c>
      <c r="AN12" s="21" t="e">
        <f ca="1">IF($C12&gt;AN$4,SUMIFS(#REF!,#REF!,$A12,#REF!,AN$4),($L12-SUM($P12:AM12))*80%/(180-AM$4))</f>
        <v>#REF!</v>
      </c>
      <c r="AO12" s="25" t="e">
        <f ca="1">IF($C12&gt;AO$4,SUMIFS(#REF!,#REF!,$A12,#REF!,AO$4),($L12-SUM($P12:AN12))*80%/(180-AN$4))</f>
        <v>#REF!</v>
      </c>
      <c r="AP12" s="25" t="e">
        <f ca="1">IF($C12&gt;AP$4,SUMIFS(#REF!,#REF!,$A12,#REF!,AP$4),($L12-SUM($P12:AO12))*80%/(180-AO$4))</f>
        <v>#REF!</v>
      </c>
      <c r="AQ12" s="25" t="e">
        <f ca="1">IF($C12&gt;AQ$4,SUMIFS(#REF!,#REF!,$A12,#REF!,AQ$4),($L12-SUM($P12:AP12))*80%/(180-AP$4))</f>
        <v>#REF!</v>
      </c>
      <c r="AR12" s="25" t="e">
        <f ca="1">IF($C12&gt;AR$4,SUMIFS(#REF!,#REF!,$A12,#REF!,AR$4),($L12-SUM($P12:AQ12))*80%/(180-AQ$4))</f>
        <v>#REF!</v>
      </c>
      <c r="AS12" s="25" t="e">
        <f ca="1">IF($C12&gt;AS$4,SUMIFS(#REF!,#REF!,$A12,#REF!,AS$4),($L12-SUM($P12:AR12))*80%/(180-AR$4))</f>
        <v>#REF!</v>
      </c>
      <c r="AT12" s="25" t="e">
        <f ca="1">IF($C12&gt;AT$4,SUMIFS(#REF!,#REF!,$A12,#REF!,AT$4),($L12-SUM($P12:AS12))*110%/(180-AS$4))</f>
        <v>#REF!</v>
      </c>
      <c r="AU12" s="25" t="e">
        <f ca="1">IF($C12&gt;AU$4,SUMIFS(#REF!,#REF!,$A12,#REF!,AU$4),($L12-SUM($P12:AT12))*110%/(180-AT$4))</f>
        <v>#REF!</v>
      </c>
      <c r="AV12" s="25" t="e">
        <f ca="1">IF($C12&gt;AV$4,SUMIFS(#REF!,#REF!,$A12,#REF!,AV$4),($L12-SUM($P12:AU12))*110%/(180-AU$4))</f>
        <v>#REF!</v>
      </c>
      <c r="AW12" s="25" t="e">
        <f ca="1">IF($C12&gt;AW$4,SUMIFS(#REF!,#REF!,$A12,#REF!,AW$4),($L12-SUM($P12:AV12))*110%/(180-AV$4))</f>
        <v>#REF!</v>
      </c>
      <c r="AX12" s="25" t="e">
        <f ca="1">IF($C12&gt;AX$4,SUMIFS(#REF!,#REF!,$A12,#REF!,AX$4),($L12-SUM($P12:AW12))*110%/(180-AW$4))</f>
        <v>#REF!</v>
      </c>
      <c r="AY12" s="25" t="e">
        <f ca="1">IF($C12&gt;AY$4,SUMIFS(#REF!,#REF!,$A12,#REF!,AY$4),($L12-SUM($P12:AX12))*110%/(180-AX$4))</f>
        <v>#REF!</v>
      </c>
      <c r="AZ12" s="25" t="e">
        <f ca="1">IF($C12&gt;AZ$4,SUMIFS(#REF!,#REF!,$A12,#REF!,AZ$4),($L12-SUM($P12:AY12))*110%/(180-AY$4))</f>
        <v>#REF!</v>
      </c>
      <c r="BA12" s="25" t="e">
        <f ca="1">IF($C12&gt;BA$4,SUMIFS(#REF!,#REF!,$A12,#REF!,BA$4),($L12-SUM($P12:AZ12))*110%/(180-AZ$4))</f>
        <v>#REF!</v>
      </c>
      <c r="BB12" s="25" t="e">
        <f ca="1">IF($C12&gt;BB$4,SUMIFS(#REF!,#REF!,$A12,#REF!,BB$4),($L12-SUM($P12:BA12))*110%/(180-BA$4))</f>
        <v>#REF!</v>
      </c>
      <c r="BC12" s="25" t="e">
        <f ca="1">IF($C12&gt;BC$4,SUMIFS(#REF!,#REF!,$A12,#REF!,BC$4),($L12-SUM($P12:BB12))*110%/(180-BB$4))</f>
        <v>#REF!</v>
      </c>
      <c r="BD12" s="25" t="e">
        <f ca="1">IF($C12&gt;BD$4,SUMIFS(#REF!,#REF!,$A12,#REF!,BD$4),($L12-SUM($P12:BC12))*110%/(180-BC$4))</f>
        <v>#REF!</v>
      </c>
      <c r="BE12" s="25" t="e">
        <f ca="1">IF($C12&gt;BE$4,SUMIFS(#REF!,#REF!,$A12,#REF!,BE$4),($L12-SUM($P12:BD12))*110%/(180-BD$4))</f>
        <v>#REF!</v>
      </c>
      <c r="BF12" s="25" t="e">
        <f ca="1">IF($C12&gt;BF$4,SUMIFS(#REF!,#REF!,$A12,#REF!,BF$4),($L12-SUM($P12:BE12))*110%/(180-BE$4))</f>
        <v>#REF!</v>
      </c>
      <c r="BG12" s="25" t="e">
        <f ca="1">IF($C12&gt;BG$4,SUMIFS(#REF!,#REF!,$A12,#REF!,BG$4),($L12-SUM($P12:BF12))*110%/(180-BF$4))</f>
        <v>#REF!</v>
      </c>
      <c r="BH12" s="25" t="e">
        <f ca="1">IF($C12&gt;BH$4,SUMIFS(#REF!,#REF!,$A12,#REF!,BH$4),($L12-SUM($P12:BG12))*110%/(180-BG$4))</f>
        <v>#REF!</v>
      </c>
      <c r="BI12" s="25" t="e">
        <f ca="1">IF($C12&gt;BI$4,SUMIFS(#REF!,#REF!,$A12,#REF!,BI$4),($L12-SUM($P12:BH12))*110%/(180-BH$4))</f>
        <v>#REF!</v>
      </c>
      <c r="BJ12" s="25" t="e">
        <f ca="1">IF($C12&gt;BJ$4,SUMIFS(#REF!,#REF!,$A12,#REF!,BJ$4),($L12-SUM($P12:BI12))*110%/(180-BI$4))</f>
        <v>#REF!</v>
      </c>
      <c r="BK12" s="25" t="e">
        <f ca="1">IF($C12&gt;BK$4,SUMIFS(#REF!,#REF!,$A12,#REF!,BK$4),($L12-SUM($P12:BJ12))*110%/(180-BJ$4))</f>
        <v>#REF!</v>
      </c>
      <c r="BL12" s="25" t="e">
        <f ca="1">IF($C12&gt;BL$4,SUMIFS(#REF!,#REF!,$A12,#REF!,BL$4),($L12-SUM($P12:BK12))*110%/(180-BK$4))</f>
        <v>#REF!</v>
      </c>
      <c r="BM12" s="25" t="e">
        <f ca="1">IF($C12&gt;BM$4,SUMIFS(#REF!,#REF!,$A12,#REF!,BM$4),($L12-SUM($P12:BL12))*110%/(180-BL$4))</f>
        <v>#REF!</v>
      </c>
      <c r="BN12" s="25" t="e">
        <f ca="1">IF($C12&gt;BN$4,SUMIFS(#REF!,#REF!,$A12,#REF!,BN$4),($L12-SUM($P12:BM12))*110%/(180-BM$4))</f>
        <v>#REF!</v>
      </c>
      <c r="BO12" s="25" t="e">
        <f ca="1">IF($C12&gt;BO$4,SUMIFS(#REF!,#REF!,$A12,#REF!,BO$4),($L12-SUM($P12:BN12))*110%/(180-BN$4))</f>
        <v>#REF!</v>
      </c>
      <c r="BP12" s="25" t="e">
        <f ca="1">IF($C12&gt;BP$4,SUMIFS(#REF!,#REF!,$A12,#REF!,BP$4),($L12-SUM($P12:BO12))*110%/(180-BO$4))</f>
        <v>#REF!</v>
      </c>
      <c r="BQ12" s="25" t="e">
        <f ca="1">IF($C12&gt;BQ$4,SUMIFS(#REF!,#REF!,$A12,#REF!,BQ$4),($L12-SUM($P12:BP12))*110%/(180-BP$4))</f>
        <v>#REF!</v>
      </c>
      <c r="BR12" s="25" t="e">
        <f ca="1">IF($C12&gt;BR$4,SUMIFS(#REF!,#REF!,$A12,#REF!,BR$4),($L12-SUM($P12:BQ12))*110%/(180-BQ$4))</f>
        <v>#REF!</v>
      </c>
      <c r="BS12" s="25" t="e">
        <f ca="1">IF($C12&gt;BS$4,SUMIFS(#REF!,#REF!,$A12,#REF!,BS$4),($L12-SUM($P12:BR12))*110%/(180-BR$4))</f>
        <v>#REF!</v>
      </c>
      <c r="BT12" s="25" t="e">
        <f ca="1">IF($C12&gt;BT$4,SUMIFS(#REF!,#REF!,$A12,#REF!,BT$4),($L12-SUM($P12:BS12))*110%/(180-BS$4))</f>
        <v>#REF!</v>
      </c>
      <c r="BU12" s="25" t="e">
        <f ca="1">IF($C12&gt;BU$4,SUMIFS(#REF!,#REF!,$A12,#REF!,BU$4),($L12-SUM($P12:BT12))*110%/(180-BT$4))</f>
        <v>#REF!</v>
      </c>
      <c r="BV12" s="25" t="e">
        <f ca="1">IF($C12&gt;BV$4,SUMIFS(#REF!,#REF!,$A12,#REF!,BV$4),($L12-SUM($P12:BU12))*110%/(180-BU$4))</f>
        <v>#REF!</v>
      </c>
      <c r="BW12" s="25" t="e">
        <f ca="1">IF($C12&gt;BW$4,SUMIFS(#REF!,#REF!,$A12,#REF!,BW$4),($L12-SUM($P12:BV12))*110%/(180-BV$4))</f>
        <v>#REF!</v>
      </c>
      <c r="BX12" s="25" t="e">
        <f ca="1">IF($C12&gt;BX$4,SUMIFS(#REF!,#REF!,$A12,#REF!,BX$4),($L12-SUM($P12:BW12))*110%/(180-BW$4))</f>
        <v>#REF!</v>
      </c>
      <c r="BY12" s="25" t="e">
        <f ca="1">IF($C12&gt;BY$4,SUMIFS(#REF!,#REF!,$A12,#REF!,BY$4),($L12-SUM($P12:BX12))*110%/(180-BX$4))</f>
        <v>#REF!</v>
      </c>
      <c r="BZ12" s="25" t="e">
        <f ca="1">IF($C12&gt;BZ$4,SUMIFS(#REF!,#REF!,$A12,#REF!,BZ$4),($L12-SUM($P12:BY12))*110%/(180-BY$4))</f>
        <v>#REF!</v>
      </c>
      <c r="CA12" s="25" t="e">
        <f ca="1">IF($C12&gt;CA$4,SUMIFS(#REF!,#REF!,$A12,#REF!,CA$4),($L12-SUM($P12:BZ12))*110%/(180-BZ$4))</f>
        <v>#REF!</v>
      </c>
      <c r="CB12" s="25" t="e">
        <f ca="1">IF($C12&gt;CB$4,SUMIFS(#REF!,#REF!,$A12,#REF!,CB$4),($L12-SUM($P12:CA12))*110%/(180-CA$4))</f>
        <v>#REF!</v>
      </c>
      <c r="CC12" s="25" t="e">
        <f ca="1">IF($C12&gt;CC$4,SUMIFS(#REF!,#REF!,$A12,#REF!,CC$4),($L12-SUM($P12:CB12))*110%/(180-CB$4))</f>
        <v>#REF!</v>
      </c>
      <c r="CD12" s="25" t="e">
        <f ca="1">IF($C12&gt;CD$4,SUMIFS(#REF!,#REF!,$A12,#REF!,CD$4),($L12-SUM($P12:CC12))*110%/(180-CC$4))</f>
        <v>#REF!</v>
      </c>
      <c r="CE12" s="25" t="e">
        <f ca="1">IF($C12&gt;CE$4,SUMIFS(#REF!,#REF!,$A12,#REF!,CE$4),($L12-SUM($P12:CD12))*110%/(180-CD$4))</f>
        <v>#REF!</v>
      </c>
      <c r="CF12" s="25" t="e">
        <f ca="1">IF($C12&gt;CF$4,SUMIFS(#REF!,#REF!,$A12,#REF!,CF$4),($L12-SUM($P12:CE12))*110%/(180-CE$4))</f>
        <v>#REF!</v>
      </c>
      <c r="CG12" s="25" t="e">
        <f ca="1">IF($C12&gt;CG$4,SUMIFS(#REF!,#REF!,$A12,#REF!,CG$4),($L12-SUM($P12:CF12))*110%/(180-CF$4))</f>
        <v>#REF!</v>
      </c>
      <c r="CH12" s="25" t="e">
        <f ca="1">IF($C12&gt;CH$4,SUMIFS(#REF!,#REF!,$A12,#REF!,CH$4),($L12-SUM($P12:CG12))*110%/(180-CG$4))</f>
        <v>#REF!</v>
      </c>
      <c r="CI12" s="25" t="e">
        <f ca="1">IF($C12&gt;CI$4,SUMIFS(#REF!,#REF!,$A12,#REF!,CI$4),($L12-SUM($P12:CH12))*110%/(180-CH$4))</f>
        <v>#REF!</v>
      </c>
      <c r="CJ12" s="25" t="e">
        <f ca="1">IF($C12&gt;CJ$4,SUMIFS(#REF!,#REF!,$A12,#REF!,CJ$4),($L12-SUM($P12:CI12))*110%/(180-CI$4))</f>
        <v>#REF!</v>
      </c>
      <c r="CK12" s="25" t="e">
        <f ca="1">IF($C12&gt;CK$4,SUMIFS(#REF!,#REF!,$A12,#REF!,CK$4),($L12-SUM($P12:CJ12))*110%/(180-CJ$4))</f>
        <v>#REF!</v>
      </c>
      <c r="CL12" s="25" t="e">
        <f ca="1">IF($C12&gt;CL$4,SUMIFS(#REF!,#REF!,$A12,#REF!,CL$4),($L12-SUM($P12:CK12))*110%/(180-CK$4))</f>
        <v>#REF!</v>
      </c>
      <c r="CM12" s="25" t="e">
        <f ca="1">IF($C12&gt;CM$4,SUMIFS(#REF!,#REF!,$A12,#REF!,CM$4),($L12-SUM($P12:CL12))*110%/(180-CL$4))</f>
        <v>#REF!</v>
      </c>
      <c r="CN12" s="25" t="e">
        <f ca="1">IF($C12&gt;CN$4,SUMIFS(#REF!,#REF!,$A12,#REF!,CN$4),($L12-SUM($P12:CM12))*110%/(180-CM$4))</f>
        <v>#REF!</v>
      </c>
      <c r="CO12" s="25" t="e">
        <f ca="1">IF($C12&gt;CO$4,SUMIFS(#REF!,#REF!,$A12,#REF!,CO$4),($L12-SUM($P12:CN12))*110%/(180-CN$4))</f>
        <v>#REF!</v>
      </c>
      <c r="CP12" s="25" t="e">
        <f ca="1">IF($C12&gt;CP$4,SUMIFS(#REF!,#REF!,$A12,#REF!,CP$4),($L12-SUM($P12:CO12))*110%/(180-CO$4))</f>
        <v>#REF!</v>
      </c>
      <c r="CQ12" s="25" t="e">
        <f ca="1">IF($C12&gt;CQ$4,SUMIFS(#REF!,#REF!,$A12,#REF!,CQ$4),($L12-SUM($P12:CP12))*110%/(180-CP$4))</f>
        <v>#REF!</v>
      </c>
      <c r="CR12" s="25" t="e">
        <f ca="1">IF($C12&gt;CR$4,SUMIFS(#REF!,#REF!,$A12,#REF!,CR$4),($L12-SUM($P12:CQ12))*110%/(180-CQ$4))</f>
        <v>#REF!</v>
      </c>
      <c r="CS12" s="25" t="e">
        <f ca="1">IF($C12&gt;CS$4,SUMIFS(#REF!,#REF!,$A12,#REF!,CS$4),($L12-SUM($P12:CR12))*110%/(180-CR$4))</f>
        <v>#REF!</v>
      </c>
      <c r="CT12" s="25" t="e">
        <f ca="1">IF($C12&gt;CT$4,SUMIFS(#REF!,#REF!,$A12,#REF!,CT$4),($L12-SUM($P12:CS12))*110%/(180-CS$4))</f>
        <v>#REF!</v>
      </c>
      <c r="CU12" s="25" t="e">
        <f ca="1">IF($C12&gt;CU$4,SUMIFS(#REF!,#REF!,$A12,#REF!,CU$4),($L12-SUM($P12:CT12))*110%/(180-CT$4))</f>
        <v>#REF!</v>
      </c>
      <c r="CV12" s="25" t="e">
        <f ca="1">IF($C12&gt;CV$4,SUMIFS(#REF!,#REF!,$A12,#REF!,CV$4),($L12-SUM($P12:CU12))*110%/(180-CU$4))</f>
        <v>#REF!</v>
      </c>
      <c r="CW12" s="25" t="e">
        <f ca="1">IF($C12&gt;CW$4,SUMIFS(#REF!,#REF!,$A12,#REF!,CW$4),($L12-SUM($P12:CV12))*110%/(180-CV$4))</f>
        <v>#REF!</v>
      </c>
      <c r="CX12" s="25" t="e">
        <f ca="1">IF($C12&gt;CX$4,SUMIFS(#REF!,#REF!,$A12,#REF!,CX$4),($L12-SUM($P12:CW12))*110%/(180-CW$4))</f>
        <v>#REF!</v>
      </c>
      <c r="CY12" s="25" t="e">
        <f ca="1">IF($C12&gt;CY$4,SUMIFS(#REF!,#REF!,$A12,#REF!,CY$4),($L12-SUM($P12:CX12))*110%/(180-CX$4))</f>
        <v>#REF!</v>
      </c>
      <c r="CZ12" s="25" t="e">
        <f ca="1">IF($C12&gt;CZ$4,SUMIFS(#REF!,#REF!,$A12,#REF!,CZ$4),($L12-SUM($P12:CY12))*110%/(180-CY$4))</f>
        <v>#REF!</v>
      </c>
      <c r="DA12" s="25" t="e">
        <f ca="1">IF($C12&gt;DA$4,SUMIFS(#REF!,#REF!,$A12,#REF!,DA$4),($L12-SUM($P12:CZ12))*110%/(180-CZ$4))</f>
        <v>#REF!</v>
      </c>
      <c r="DB12" s="25" t="e">
        <f ca="1">IF($C12&gt;DB$4,SUMIFS(#REF!,#REF!,$A12,#REF!,DB$4),($L12-SUM($P12:DA12))*110%/(180-DA$4))</f>
        <v>#REF!</v>
      </c>
      <c r="DC12" s="25" t="e">
        <f ca="1">IF($C12&gt;DC$4,SUMIFS(#REF!,#REF!,$A12,#REF!,DC$4),($L12-SUM($P12:DB12))*110%/(180-DB$4))</f>
        <v>#REF!</v>
      </c>
      <c r="DD12" s="25" t="e">
        <f ca="1">IF($C12&gt;DD$4,SUMIFS(#REF!,#REF!,$A12,#REF!,DD$4),($L12-SUM($P12:DC12))*110%/(180-DC$4))</f>
        <v>#REF!</v>
      </c>
      <c r="DE12" s="25" t="e">
        <f ca="1">IF($C12&gt;DE$4,SUMIFS(#REF!,#REF!,$A12,#REF!,DE$4),($L12-SUM($P12:DD12))*110%/(180-DD$4))</f>
        <v>#REF!</v>
      </c>
      <c r="DF12" s="25" t="e">
        <f ca="1">IF($C12&gt;DF$4,SUMIFS(#REF!,#REF!,$A12,#REF!,DF$4),($L12-SUM($P12:DE12))*110%/(180-DE$4))</f>
        <v>#REF!</v>
      </c>
      <c r="DG12" s="25" t="e">
        <f ca="1">IF($C12&gt;DG$4,SUMIFS(#REF!,#REF!,$A12,#REF!,DG$4),($L12-SUM($P12:DF12))*110%/(180-DF$4))</f>
        <v>#REF!</v>
      </c>
      <c r="DH12" s="25" t="e">
        <f ca="1">IF($C12&gt;DH$4,SUMIFS(#REF!,#REF!,$A12,#REF!,DH$4),($L12-SUM($P12:DG12))*110%/(180-DG$4))</f>
        <v>#REF!</v>
      </c>
      <c r="DI12" s="25" t="e">
        <f ca="1">IF($C12&gt;DI$4,SUMIFS(#REF!,#REF!,$A12,#REF!,DI$4),($L12-SUM($P12:DH12))*110%/(180-DH$4))</f>
        <v>#REF!</v>
      </c>
      <c r="DJ12" s="25" t="e">
        <f ca="1">IF($C12&gt;DJ$4,SUMIFS(#REF!,#REF!,$A12,#REF!,DJ$4),($L12-SUM($P12:DI12))*110%/(180-DI$4))</f>
        <v>#REF!</v>
      </c>
      <c r="DK12" s="25" t="e">
        <f ca="1">IF($C12&gt;DK$4,SUMIFS(#REF!,#REF!,$A12,#REF!,DK$4),($L12-SUM($P12:DJ12))*110%/(180-DJ$4))</f>
        <v>#REF!</v>
      </c>
      <c r="DL12" s="25" t="e">
        <f ca="1">IF($C12&gt;DL$4,SUMIFS(#REF!,#REF!,$A12,#REF!,DL$4),($L12-SUM($P12:DK12))*110%/(180-DK$4))</f>
        <v>#REF!</v>
      </c>
      <c r="DM12" s="25" t="e">
        <f ca="1">IF($C12&gt;DM$4,SUMIFS(#REF!,#REF!,$A12,#REF!,DM$4),($L12-SUM($P12:DL12))*110%/(180-DL$4))</f>
        <v>#REF!</v>
      </c>
      <c r="DN12" s="25" t="e">
        <f ca="1">IF($C12&gt;DN$4,SUMIFS(#REF!,#REF!,$A12,#REF!,DN$4),($L12-SUM($P12:DM12))*110%/(180-DM$4))</f>
        <v>#REF!</v>
      </c>
      <c r="DO12" s="25" t="e">
        <f ca="1">IF($C12&gt;DO$4,SUMIFS(#REF!,#REF!,$A12,#REF!,DO$4),($L12-SUM($P12:DN12))*110%/(180-DN$4))</f>
        <v>#REF!</v>
      </c>
      <c r="DP12" s="25" t="e">
        <f ca="1">IF($C12&gt;DP$4,SUMIFS(#REF!,#REF!,$A12,#REF!,DP$4),($L12-SUM($P12:DO12))*110%/(180-DO$4))</f>
        <v>#REF!</v>
      </c>
      <c r="DQ12" s="25" t="e">
        <f ca="1">IF($C12&gt;DQ$4,SUMIFS(#REF!,#REF!,$A12,#REF!,DQ$4),($L12-SUM($P12:DP12))*110%/(180-DP$4))</f>
        <v>#REF!</v>
      </c>
      <c r="DR12" s="25" t="e">
        <f ca="1">IF($C12&gt;DR$4,SUMIFS(#REF!,#REF!,$A12,#REF!,DR$4),($L12-SUM($P12:DQ12))*110%/(180-DQ$4))</f>
        <v>#REF!</v>
      </c>
      <c r="DS12" s="25" t="e">
        <f ca="1">IF($C12&gt;DS$4,SUMIFS(#REF!,#REF!,$A12,#REF!,DS$4),($L12-SUM($P12:DR12))*110%/(180-DR$4))</f>
        <v>#REF!</v>
      </c>
      <c r="DT12" s="25" t="e">
        <f ca="1">IF($C12&gt;DT$4,SUMIFS(#REF!,#REF!,$A12,#REF!,DT$4),($L12-SUM($P12:DS12))*110%/(180-DS$4))</f>
        <v>#REF!</v>
      </c>
      <c r="DU12" s="25" t="e">
        <f ca="1">IF($C12&gt;DU$4,SUMIFS(#REF!,#REF!,$A12,#REF!,DU$4),($L12-SUM($P12:DT12))*110%/(180-DT$4))</f>
        <v>#REF!</v>
      </c>
      <c r="DV12" s="25" t="e">
        <f ca="1">IF($C12&gt;DV$4,SUMIFS(#REF!,#REF!,$A12,#REF!,DV$4),($L12-SUM($P12:DU12))*110%/(180-DU$4))</f>
        <v>#REF!</v>
      </c>
      <c r="DW12" s="25" t="e">
        <f ca="1">IF($C12&gt;DW$4,SUMIFS(#REF!,#REF!,$A12,#REF!,DW$4),($L12-SUM($P12:DV12))*110%/(180-DV$4))</f>
        <v>#REF!</v>
      </c>
      <c r="DX12" s="25" t="e">
        <f ca="1">IF($C12&gt;DX$4,SUMIFS(#REF!,#REF!,$A12,#REF!,DX$4),($L12-SUM($P12:DW12))*110%/(180-DW$4))</f>
        <v>#REF!</v>
      </c>
      <c r="DY12" s="25" t="e">
        <f ca="1">IF($C12&gt;DY$4,SUMIFS(#REF!,#REF!,$A12,#REF!,DY$4),($L12-SUM($P12:DX12))*110%/(180-DX$4))</f>
        <v>#REF!</v>
      </c>
      <c r="DZ12" s="25" t="e">
        <f ca="1">IF($C12&gt;DZ$4,SUMIFS(#REF!,#REF!,$A12,#REF!,DZ$4),($L12-SUM($P12:DY12))*110%/(180-DY$4))</f>
        <v>#REF!</v>
      </c>
      <c r="EA12" s="25" t="e">
        <f ca="1">IF($C12&gt;EA$4,SUMIFS(#REF!,#REF!,$A12,#REF!,EA$4),($L12-SUM($P12:DZ12))*110%/(180-DZ$4))</f>
        <v>#REF!</v>
      </c>
      <c r="EB12" s="25" t="e">
        <f ca="1">IF($C12&gt;EB$4,SUMIFS(#REF!,#REF!,$A12,#REF!,EB$4),($L12-SUM($P12:EA12))*110%/(180-EA$4))</f>
        <v>#REF!</v>
      </c>
      <c r="EC12" s="25" t="e">
        <f ca="1">IF($C12&gt;EC$4,SUMIFS(#REF!,#REF!,$A12,#REF!,EC$4),($L12-SUM($P12:EB12))*110%/(180-EB$4))</f>
        <v>#REF!</v>
      </c>
      <c r="ED12" s="25" t="e">
        <f ca="1">IF($C12&gt;ED$4,SUMIFS(#REF!,#REF!,$A12,#REF!,ED$4),($L12-SUM($P12:EC12))*110%/(180-EC$4))</f>
        <v>#REF!</v>
      </c>
      <c r="EE12" s="25" t="e">
        <f ca="1">IF($C12&gt;EE$4,SUMIFS(#REF!,#REF!,$A12,#REF!,EE$4),($L12-SUM($P12:ED12))*110%/(180-ED$4))</f>
        <v>#REF!</v>
      </c>
      <c r="EF12" s="25" t="e">
        <f ca="1">IF($C12&gt;EF$4,SUMIFS(#REF!,#REF!,$A12,#REF!,EF$4),($L12-SUM($P12:EE12))*100%/(180-EE$4))</f>
        <v>#REF!</v>
      </c>
      <c r="EG12" s="25" t="e">
        <f ca="1">IF($C12&gt;EG$4,SUMIFS(#REF!,#REF!,$A12,#REF!,EG$4),($L12-SUM($P12:EF12))*100%/(180-EF$4))</f>
        <v>#REF!</v>
      </c>
      <c r="EH12" s="25" t="e">
        <f ca="1">IF($C12&gt;EH$4,SUMIFS(#REF!,#REF!,$A12,#REF!,EH$4),($L12-SUM($P12:EG12))*100%/(180-EG$4))</f>
        <v>#REF!</v>
      </c>
      <c r="EI12" s="25" t="e">
        <f ca="1">IF($C12&gt;EI$4,SUMIFS(#REF!,#REF!,$A12,#REF!,EI$4),($L12-SUM($P12:EH12))*100%/(180-EH$4))</f>
        <v>#REF!</v>
      </c>
      <c r="EJ12" s="25" t="e">
        <f ca="1">IF($C12&gt;EJ$4,SUMIFS(#REF!,#REF!,$A12,#REF!,EJ$4),($L12-SUM($P12:EI12))*100%/(180-EI$4))</f>
        <v>#REF!</v>
      </c>
      <c r="EK12" s="25" t="e">
        <f ca="1">IF($C12&gt;EK$4,SUMIFS(#REF!,#REF!,$A12,#REF!,EK$4),($L12-SUM($P12:EJ12))*100%/(180-EJ$4))</f>
        <v>#REF!</v>
      </c>
      <c r="EL12" s="25" t="e">
        <f ca="1">IF($C12&gt;EL$4,SUMIFS(#REF!,#REF!,$A12,#REF!,EL$4),($L12-SUM($P12:EK12))*100%/(180-EK$4))</f>
        <v>#REF!</v>
      </c>
      <c r="EM12" s="25" t="e">
        <f ca="1">IF($C12&gt;EM$4,SUMIFS(#REF!,#REF!,$A12,#REF!,EM$4),($L12-SUM($P12:EL12))*100%/(180-EL$4))</f>
        <v>#REF!</v>
      </c>
      <c r="EN12" s="25" t="e">
        <f ca="1">IF($C12&gt;EN$4,SUMIFS(#REF!,#REF!,$A12,#REF!,EN$4),($L12-SUM($P12:EM12))*100%/(180-EM$4))</f>
        <v>#REF!</v>
      </c>
      <c r="EO12" s="25" t="e">
        <f ca="1">IF($C12&gt;EO$4,SUMIFS(#REF!,#REF!,$A12,#REF!,EO$4),($L12-SUM($P12:EN12))*100%/(180-EN$4))</f>
        <v>#REF!</v>
      </c>
      <c r="EP12" s="25" t="e">
        <f ca="1">IF($C12&gt;EP$4,SUMIFS(#REF!,#REF!,$A12,#REF!,EP$4),($L12-SUM($P12:EO12))*100%/(180-EO$4))</f>
        <v>#REF!</v>
      </c>
      <c r="EQ12" s="25" t="e">
        <f ca="1">IF($C12&gt;EQ$4,SUMIFS(#REF!,#REF!,$A12,#REF!,EQ$4),($L12-SUM($P12:EP12))*100%/(180-EP$4))</f>
        <v>#REF!</v>
      </c>
      <c r="ER12" s="25" t="e">
        <f ca="1">IF($C12&gt;ER$4,SUMIFS(#REF!,#REF!,$A12,#REF!,ER$4),($L12-SUM($P12:EQ12))*100%/(180-EQ$4))</f>
        <v>#REF!</v>
      </c>
      <c r="ES12" s="25" t="e">
        <f ca="1">IF($C12&gt;ES$4,SUMIFS(#REF!,#REF!,$A12,#REF!,ES$4),($L12-SUM($P12:ER12))*100%/(180-ER$4))</f>
        <v>#REF!</v>
      </c>
      <c r="ET12" s="25" t="e">
        <f ca="1">IF($C12&gt;ET$4,SUMIFS(#REF!,#REF!,$A12,#REF!,ET$4),($L12-SUM($P12:ES12))*100%/(180-ES$4))</f>
        <v>#REF!</v>
      </c>
      <c r="EU12" s="25" t="e">
        <f ca="1">IF($C12&gt;EU$4,SUMIFS(#REF!,#REF!,$A12,#REF!,EU$4),($L12-SUM($P12:ET12))*100%/(180-ET$4))</f>
        <v>#REF!</v>
      </c>
      <c r="EV12" s="25" t="e">
        <f ca="1">IF($C12&gt;EV$4,SUMIFS(#REF!,#REF!,$A12,#REF!,EV$4),($L12-SUM($P12:EU12))*100%/(180-EU$4))</f>
        <v>#REF!</v>
      </c>
      <c r="EW12" s="25" t="e">
        <f ca="1">IF($C12&gt;EW$4,SUMIFS(#REF!,#REF!,$A12,#REF!,EW$4),($L12-SUM($P12:EV12))*100%/(180-EV$4))</f>
        <v>#REF!</v>
      </c>
      <c r="EX12" s="25" t="e">
        <f ca="1">IF($C12&gt;EX$4,SUMIFS(#REF!,#REF!,$A12,#REF!,EX$4),($L12-SUM($P12:EW12))*100%/(180-EW$4))</f>
        <v>#REF!</v>
      </c>
      <c r="EY12" s="25" t="e">
        <f ca="1">IF($C12&gt;EY$4,SUMIFS(#REF!,#REF!,$A12,#REF!,EY$4),($L12-SUM($P12:EX12))*100%/(180-EX$4))</f>
        <v>#REF!</v>
      </c>
      <c r="EZ12" s="25" t="e">
        <f ca="1">IF($C12&gt;EZ$4,SUMIFS(#REF!,#REF!,$A12,#REF!,EZ$4),($L12-SUM($P12:EY12))*100%/(180-EY$4))</f>
        <v>#REF!</v>
      </c>
      <c r="FA12" s="25" t="e">
        <f ca="1">IF($C12&gt;FA$4,SUMIFS(#REF!,#REF!,$A12,#REF!,FA$4),($L12-SUM($P12:EZ12))*100%/(180-EZ$4))</f>
        <v>#REF!</v>
      </c>
      <c r="FB12" s="25" t="e">
        <f ca="1">IF($C12&gt;FB$4,SUMIFS(#REF!,#REF!,$A12,#REF!,FB$4),($L12-SUM($P12:FA12))*100%/(180-FA$4))</f>
        <v>#REF!</v>
      </c>
      <c r="FC12" s="25" t="e">
        <f ca="1">IF($C12&gt;FC$4,SUMIFS(#REF!,#REF!,$A12,#REF!,FC$4),($L12-SUM($P12:FB12))*100%/(180-FB$4))</f>
        <v>#REF!</v>
      </c>
      <c r="FD12" s="25" t="e">
        <f ca="1">IF($C12&gt;FD$4,SUMIFS(#REF!,#REF!,$A12,#REF!,FD$4),($L12-SUM($P12:FC12))*100%/(180-FC$4))</f>
        <v>#REF!</v>
      </c>
      <c r="FE12" s="25" t="e">
        <f ca="1">IF($C12&gt;FE$4,SUMIFS(#REF!,#REF!,$A12,#REF!,FE$4),($L12-SUM($P12:FD12))*100%/(180-FD$4))</f>
        <v>#REF!</v>
      </c>
      <c r="FF12" s="25" t="e">
        <f ca="1">IF($C12&gt;FF$4,SUMIFS(#REF!,#REF!,$A12,#REF!,FF$4),($L12-SUM($P12:FE12))*100%/(180-FE$4))</f>
        <v>#REF!</v>
      </c>
      <c r="FG12" s="25" t="e">
        <f ca="1">IF($C12&gt;FG$4,SUMIFS(#REF!,#REF!,$A12,#REF!,FG$4),($L12-SUM($P12:FF12))*100%/(180-FF$4))</f>
        <v>#REF!</v>
      </c>
      <c r="FH12" s="25" t="e">
        <f ca="1">IF($C12&gt;FH$4,SUMIFS(#REF!,#REF!,$A12,#REF!,FH$4),($L12-SUM($P12:FG12))*100%/(180-FG$4))</f>
        <v>#REF!</v>
      </c>
      <c r="FI12" s="25" t="e">
        <f ca="1">IF($C12&gt;FI$4,SUMIFS(#REF!,#REF!,$A12,#REF!,FI$4),($L12-SUM($P12:FH12))*100%/(180-FH$4))</f>
        <v>#REF!</v>
      </c>
      <c r="FJ12" s="25" t="e">
        <f ca="1">IF($C12&gt;FJ$4,SUMIFS(#REF!,#REF!,$A12,#REF!,FJ$4),($L12-SUM($P12:FI12))*100%/(180-FI$4))</f>
        <v>#REF!</v>
      </c>
      <c r="FK12" s="25" t="e">
        <f ca="1">IF($C12&gt;FK$4,SUMIFS(#REF!,#REF!,$A12,#REF!,FK$4),($L12-SUM($P12:FJ12))*100%/(180-FJ$4))</f>
        <v>#REF!</v>
      </c>
      <c r="FL12" s="25" t="e">
        <f ca="1">IF($C12&gt;FL$4,SUMIFS(#REF!,#REF!,$A12,#REF!,FL$4),($L12-SUM($P12:FK12))*100%/(180-FK$4))</f>
        <v>#REF!</v>
      </c>
      <c r="FM12" s="25" t="e">
        <f ca="1">IF($C12&gt;FM$4,SUMIFS(#REF!,#REF!,$A12,#REF!,FM$4),($L12-SUM($P12:FL12))*100%/(180-FL$4))</f>
        <v>#REF!</v>
      </c>
      <c r="FN12" s="25" t="e">
        <f ca="1">IF($C12&gt;FN$4,SUMIFS(#REF!,#REF!,$A12,#REF!,FN$4),($L12-SUM($P12:FM12))*100%/(180-FM$4))</f>
        <v>#REF!</v>
      </c>
      <c r="FO12" s="25" t="e">
        <f ca="1">IF($C12&gt;FO$4,SUMIFS(#REF!,#REF!,$A12,#REF!,FO$4),($L12-SUM($P12:FN12))*100%/(180-FN$4))</f>
        <v>#REF!</v>
      </c>
      <c r="FP12" s="25" t="e">
        <f ca="1">IF($C12&gt;FP$4,SUMIFS(#REF!,#REF!,$A12,#REF!,FP$4),($L12-SUM($P12:FO12))*100%/(180-FO$4))</f>
        <v>#REF!</v>
      </c>
      <c r="FQ12" s="25" t="e">
        <f ca="1">IF($C12&gt;FQ$4,SUMIFS(#REF!,#REF!,$A12,#REF!,FQ$4),($L12-SUM($P12:FP12))*100%/(180-FP$4))</f>
        <v>#REF!</v>
      </c>
      <c r="FR12" s="25" t="e">
        <f ca="1">IF($C12&gt;FR$4,SUMIFS(#REF!,#REF!,$A12,#REF!,FR$4),($L12-SUM($P12:FQ12))*100%/(180-FQ$4))</f>
        <v>#REF!</v>
      </c>
      <c r="FS12" s="25" t="e">
        <f ca="1">IF($C12&gt;FS$4,SUMIFS(#REF!,#REF!,$A12,#REF!,FS$4),($L12-SUM($P12:FR12))*100%/(180-FR$4))</f>
        <v>#REF!</v>
      </c>
      <c r="FT12" s="25" t="e">
        <f ca="1">IF($C12&gt;FT$4,SUMIFS(#REF!,#REF!,$A12,#REF!,FT$4),($L12-SUM($P12:FS12))*100%/(180-FS$4))</f>
        <v>#REF!</v>
      </c>
      <c r="FU12" s="25" t="e">
        <f ca="1">IF($C12&gt;FU$4,SUMIFS(#REF!,#REF!,$A12,#REF!,FU$4),($L12-SUM($P12:FT12))*100%/(180-FT$4))</f>
        <v>#REF!</v>
      </c>
      <c r="FV12" s="25" t="e">
        <f ca="1">IF($C12&gt;FV$4,SUMIFS(#REF!,#REF!,$A12,#REF!,FV$4),($L12-SUM($P12:FU12))*100%/(180-FU$4))</f>
        <v>#REF!</v>
      </c>
      <c r="FW12" s="25" t="e">
        <f ca="1">IF($C12&gt;FW$4,SUMIFS(#REF!,#REF!,$A12,#REF!,FW$4),($L12-SUM($P12:FV12))*100%/(180-FV$4))</f>
        <v>#REF!</v>
      </c>
      <c r="FX12" s="25" t="e">
        <f ca="1">IF($C12&gt;FX$4,SUMIFS(#REF!,#REF!,$A12,#REF!,FX$4),($L12-SUM($P12:FW12))*100%/(180-FW$4))</f>
        <v>#REF!</v>
      </c>
      <c r="FY12" s="25" t="e">
        <f ca="1">IF($C12&gt;FY$4,SUMIFS(#REF!,#REF!,$A12,#REF!,FY$4),($L12-SUM($P12:FX12))*100%/(180-FX$4))</f>
        <v>#REF!</v>
      </c>
      <c r="FZ12" s="25" t="e">
        <f ca="1">IF($C12&gt;FZ$4,SUMIFS(#REF!,#REF!,$A12,#REF!,FZ$4),($L12-SUM($P12:FY12))*100%/(180-FY$4))</f>
        <v>#REF!</v>
      </c>
      <c r="GA12" s="25" t="e">
        <f ca="1">IF($C12&gt;GA$4,SUMIFS(#REF!,#REF!,$A12,#REF!,GA$4),($L12-SUM($P12:FZ12))*100%/(180-FZ$4))</f>
        <v>#REF!</v>
      </c>
      <c r="GB12" s="25" t="e">
        <f ca="1">IF($C12&gt;GB$4,SUMIFS(#REF!,#REF!,$A12,#REF!,GB$4),($L12-SUM($P12:GA12))*100%/(180-GA$4))</f>
        <v>#REF!</v>
      </c>
      <c r="GC12" s="25" t="e">
        <f ca="1">IF($C12&gt;GC$4,SUMIFS(#REF!,#REF!,$A12,#REF!,GC$4),($L12-SUM($P12:GB12))*100%/(180-GB$4))</f>
        <v>#REF!</v>
      </c>
      <c r="GD12" s="25" t="e">
        <f ca="1">IF($C12&gt;GD$4,SUMIFS(#REF!,#REF!,$A12,#REF!,GD$4),($L12-SUM($P12:GC12))*100%/(180-GC$4))</f>
        <v>#REF!</v>
      </c>
      <c r="GE12" s="25" t="e">
        <f ca="1">IF($C12&gt;GE$4,SUMIFS(#REF!,#REF!,$A12,#REF!,GE$4),($L12-SUM($P12:GD12))*100%/(180-GD$4))</f>
        <v>#REF!</v>
      </c>
      <c r="GF12" s="25" t="e">
        <f ca="1">IF($C12&gt;GF$4,SUMIFS(#REF!,#REF!,$A12,#REF!,GF$4),($L12-SUM($P12:GE12))*100%/(180-GE$4))</f>
        <v>#REF!</v>
      </c>
      <c r="GG12" s="25" t="e">
        <f ca="1">IF($C12&gt;GG$4,SUMIFS(#REF!,#REF!,$A12,#REF!,GG$4),($L12-SUM($P12:GF12))*100%/(180-GF$4))</f>
        <v>#REF!</v>
      </c>
      <c r="GH12" s="25" t="e">
        <f ca="1">IF($C12&gt;GH$4,SUMIFS(#REF!,#REF!,$A12,#REF!,GH$4),($L12-SUM($P12:GG12))*100%/(180-GG$4))</f>
        <v>#REF!</v>
      </c>
      <c r="GI12" s="25" t="e">
        <f ca="1">IF($C12&gt;GI$4,SUMIFS(#REF!,#REF!,$A12,#REF!,GI$4),($L12-SUM($P12:GH12))*100%/(180-GH$4))</f>
        <v>#REF!</v>
      </c>
      <c r="GJ12" s="25" t="e">
        <f ca="1">IF($C12&gt;GJ$4,SUMIFS(#REF!,#REF!,$A12,#REF!,GJ$4),($L12-SUM($P12:GI12))*100%/(180-GI$4))</f>
        <v>#REF!</v>
      </c>
      <c r="GK12" s="25" t="e">
        <f ca="1">IF($C12&gt;GK$4,SUMIFS(#REF!,#REF!,$A12,#REF!,GK$4),($L12-SUM($P12:GJ12))*100%/(180-GJ$4))</f>
        <v>#REF!</v>
      </c>
      <c r="GL12" s="25" t="e">
        <f ca="1">IF($C12&gt;GL$4,SUMIFS(#REF!,#REF!,$A12,#REF!,GL$4),($L12-SUM($P12:GK12))*100%/(180-GK$4))</f>
        <v>#REF!</v>
      </c>
      <c r="GM12" s="25" t="e">
        <f ca="1">IF($C12&gt;GM$4,SUMIFS(#REF!,#REF!,$A12,#REF!,GM$4),($L12-SUM($P12:GL12))*100%/(180-GL$4))</f>
        <v>#REF!</v>
      </c>
    </row>
    <row r="13" spans="1:195" ht="28" x14ac:dyDescent="0.25">
      <c r="A13" s="8" t="s">
        <v>19</v>
      </c>
      <c r="B13" s="19">
        <v>46170</v>
      </c>
      <c r="C13" s="8">
        <f ca="1">TODAY()-B13+1</f>
        <v>29</v>
      </c>
      <c r="D13" s="8" t="str" cm="1">
        <f t="array" ref="D13" ca="1">_xlfn.IFS(AND(TODAY()-B13&lt;=30,TODAY()-B13&gt;=0),"新品期",AND(TODAY()-B13&gt;=31,TODAY()-B13&lt;=120),"热销期",AND(TODAY()-B13&gt;=121,TODAY()-B13&lt;=180),"清货期",TODAY()-B13&gt;180,"滞销")</f>
        <v>新品期</v>
      </c>
      <c r="E13" s="8">
        <f t="shared" si="16"/>
        <v>780</v>
      </c>
      <c r="F13" s="8"/>
      <c r="G13" s="8">
        <f>SUMIF([1]销售表!I:I,A13,[1]销售表!J:J)</f>
        <v>220</v>
      </c>
      <c r="H13" s="9">
        <f t="shared" si="17"/>
        <v>0.22</v>
      </c>
      <c r="I13" s="8"/>
      <c r="J13" s="8">
        <f>SUMIFS([1]销售表!J:J,[1]销售表!I:I,A13,[1]销售表!E:E,"可取")</f>
        <v>49</v>
      </c>
      <c r="K13" s="8"/>
      <c r="L13" s="8">
        <v>1000</v>
      </c>
      <c r="M13" s="10">
        <f>_xlfn.XLOOKUP(A13,[1]销售表!I:I,[1]销售表!J:J,0,0,-1)</f>
        <v>6</v>
      </c>
      <c r="N13" s="10" t="e" cm="1">
        <f t="array" ref="N13" ca="1">IF(C13&gt;180,"0",INDEX(P13:GM13,C13))</f>
        <v>#REF!</v>
      </c>
      <c r="O13" s="30" t="s">
        <v>25</v>
      </c>
      <c r="P13" s="31">
        <f>$L13*80%/180</f>
        <v>4.4444444444444402</v>
      </c>
      <c r="Q13" s="32" t="e" cm="1">
        <f t="array" aca="1" ref="Q13" ca="1">_xlfn.IFS(Q$4&lt;$C13,($L13-SUMIFS(#REF!,#REF!,$A13,#REF!,"&lt;="&amp;P$4))*80%/(180-P$4),Q$4&gt;=$C13,($L13-SUM(#REF!))*80%/(180-P$4))</f>
        <v>#REF!</v>
      </c>
      <c r="R13" s="32" t="e" cm="1">
        <f t="array" aca="1" ref="R13" ca="1">_xlfn.IFS(R$4&lt;$C13,($L13-SUMIFS(#REF!,#REF!,$A13,#REF!,"&lt;="&amp;Q$4))*80%/(180-Q$4),R$4&gt;=$C13,($L13-SUM(#REF!))*80%/(180-Q$4))</f>
        <v>#REF!</v>
      </c>
      <c r="S13" s="32" t="e" cm="1">
        <f t="array" aca="1" ref="S13" ca="1">_xlfn.IFS(S$4&lt;$C13,($L13-SUMIFS(#REF!,#REF!,$A13,#REF!,"&lt;="&amp;R$4))*80%/(180-R$4),S$4&gt;=$C13,($L13-SUM(#REF!))*80%/(180-R$4))</f>
        <v>#REF!</v>
      </c>
      <c r="T13" s="32" t="e" cm="1">
        <f t="array" aca="1" ref="T13" ca="1">_xlfn.IFS(T$4&lt;$C13,($L13-SUMIFS(#REF!,#REF!,$A13,#REF!,"&lt;="&amp;S$4))*80%/(180-S$4),T$4&gt;=$C13,($L13-SUM(#REF!))*80%/(180-S$4))</f>
        <v>#REF!</v>
      </c>
      <c r="U13" s="32" t="e" cm="1">
        <f t="array" aca="1" ref="U13" ca="1">_xlfn.IFS(U$4&lt;$C13,($L13-SUMIFS(#REF!,#REF!,$A13,#REF!,"&lt;="&amp;T$4))*80%/(180-T$4),U$4&gt;=$C13,($L13-SUM(#REF!))*80%/(180-T$4))</f>
        <v>#REF!</v>
      </c>
      <c r="V13" s="32" t="e" cm="1">
        <f t="array" aca="1" ref="V13" ca="1">_xlfn.IFS(V$4&lt;$C13,($L13-SUMIFS(#REF!,#REF!,$A13,#REF!,"&lt;="&amp;U$4))*80%/(180-U$4),V$4&gt;=$C13,($L13-SUM(#REF!))*80%/(180-U$4))</f>
        <v>#REF!</v>
      </c>
      <c r="W13" s="32" t="e" cm="1">
        <f t="array" aca="1" ref="W13" ca="1">_xlfn.IFS(W$4&lt;$C13,($L13-SUMIFS(#REF!,#REF!,$A13,#REF!,"&lt;="&amp;V$4))*80%/(180-V$4),W$4&gt;=$C13,($L13-SUM(#REF!))*80%/(180-V$4))</f>
        <v>#REF!</v>
      </c>
      <c r="X13" s="32" t="e" cm="1">
        <f t="array" aca="1" ref="X13" ca="1">_xlfn.IFS(X$4&lt;$C13,($L13-SUMIFS(#REF!,#REF!,$A13,#REF!,"&lt;="&amp;W$4))*80%/(180-W$4),X$4&gt;=$C13,($L13-SUM(#REF!))*80%/(180-W$4))</f>
        <v>#REF!</v>
      </c>
      <c r="Y13" s="32" t="e" cm="1">
        <f t="array" aca="1" ref="Y13" ca="1">_xlfn.IFS(Y$4&lt;$C13,($L13-SUMIFS(#REF!,#REF!,$A13,#REF!,"&lt;="&amp;X$4))*80%/(180-X$4),Y$4&gt;=$C13,($L13-SUM(#REF!))*80%/(180-X$4))</f>
        <v>#REF!</v>
      </c>
      <c r="Z13" s="32" t="e" cm="1">
        <f t="array" aca="1" ref="Z13" ca="1">_xlfn.IFS(Z$4&lt;$C13,($L13-SUMIFS(#REF!,#REF!,$A13,#REF!,"&lt;="&amp;Y$4))*80%/(180-Y$4),Z$4&gt;=$C13,($L13-SUM(#REF!))*80%/(180-Y$4))</f>
        <v>#REF!</v>
      </c>
      <c r="AA13" s="32" t="e" cm="1">
        <f t="array" aca="1" ref="AA13" ca="1">_xlfn.IFS(AA$4&lt;$C13,($L13-SUMIFS(#REF!,#REF!,$A13,#REF!,"&lt;="&amp;Z$4))*80%/(180-Z$4),AA$4&gt;=$C13,($L13-SUM(#REF!))*80%/(180-Z$4))</f>
        <v>#REF!</v>
      </c>
      <c r="AB13" s="32" t="e" cm="1">
        <f t="array" aca="1" ref="AB13" ca="1">_xlfn.IFS(AB$4&lt;$C13,($L13-SUMIFS(#REF!,#REF!,$A13,#REF!,"&lt;="&amp;AA$4))*80%/(180-AA$4),AB$4&gt;=$C13,($L13-SUM(#REF!))*80%/(180-AA$4))</f>
        <v>#REF!</v>
      </c>
      <c r="AC13" s="32" t="e" cm="1">
        <f t="array" aca="1" ref="AC13" ca="1">_xlfn.IFS(AC$4&lt;$C13,($L13-SUMIFS(#REF!,#REF!,$A13,#REF!,"&lt;="&amp;AB$4))*80%/(180-AB$4),AC$4&gt;=$C13,($L13-SUM(#REF!))*80%/(180-AB$4))</f>
        <v>#REF!</v>
      </c>
      <c r="AD13" s="32" t="e" cm="1">
        <f t="array" aca="1" ref="AD13" ca="1">_xlfn.IFS(AD$4&lt;$C13,($L13-SUMIFS(#REF!,#REF!,$A13,#REF!,"&lt;="&amp;AC$4))*80%/(180-AC$4),AD$4&gt;=$C13,($L13-SUM(#REF!))*80%/(180-AC$4))</f>
        <v>#REF!</v>
      </c>
      <c r="AE13" s="32" t="e" cm="1">
        <f t="array" aca="1" ref="AE13" ca="1">_xlfn.IFS(AE$4&lt;$C13,($L13-SUMIFS(#REF!,#REF!,$A13,#REF!,"&lt;="&amp;AD$4))*80%/(180-AD$4),AE$4&gt;=$C13,($L13-SUM(#REF!))*80%/(180-AD$4))</f>
        <v>#REF!</v>
      </c>
      <c r="AF13" s="32" t="e" cm="1">
        <f t="array" aca="1" ref="AF13" ca="1">_xlfn.IFS(AF$4&lt;$C13,($L13-SUMIFS(#REF!,#REF!,$A13,#REF!,"&lt;="&amp;AE$4))*80%/(180-AE$4),AF$4&gt;=$C13,($L13-SUM(#REF!))*80%/(180-AE$4))</f>
        <v>#REF!</v>
      </c>
      <c r="AG13" s="32" t="e" cm="1">
        <f t="array" aca="1" ref="AG13" ca="1">_xlfn.IFS(AG$4&lt;$C13,($L13-SUMIFS(#REF!,#REF!,$A13,#REF!,"&lt;="&amp;AF$4))*80%/(180-AF$4),AG$4&gt;=$C13,($L13-SUM(#REF!))*80%/(180-AF$4))</f>
        <v>#REF!</v>
      </c>
      <c r="AH13" s="32" t="e" cm="1">
        <f t="array" aca="1" ref="AH13" ca="1">_xlfn.IFS(AH$4&lt;$C13,($L13-SUMIFS(#REF!,#REF!,$A13,#REF!,"&lt;="&amp;AG$4))*80%/(180-AG$4),AH$4&gt;=$C13,($L13-SUM(#REF!))*80%/(180-AG$4))</f>
        <v>#REF!</v>
      </c>
      <c r="AI13" s="32" t="e" cm="1">
        <f t="array" aca="1" ref="AI13" ca="1">_xlfn.IFS(AI$4&lt;$C13,($L13-SUMIFS(#REF!,#REF!,$A13,#REF!,"&lt;="&amp;AH$4))*80%/(180-AH$4),AI$4&gt;=$C13,($L13-SUM(#REF!))*80%/(180-AH$4))</f>
        <v>#REF!</v>
      </c>
      <c r="AJ13" s="32" t="e" cm="1">
        <f t="array" aca="1" ref="AJ13" ca="1">_xlfn.IFS(AJ$4&lt;$C13,($L13-SUMIFS(#REF!,#REF!,$A13,#REF!,"&lt;="&amp;AI$4))*80%/(180-AI$4),AJ$4&gt;=$C13,($L13-SUM(#REF!))*80%/(180-AI$4))</f>
        <v>#REF!</v>
      </c>
      <c r="AK13" s="32" t="e" cm="1">
        <f t="array" aca="1" ref="AK13" ca="1">_xlfn.IFS(AK$4&lt;$C13,($L13-SUMIFS(#REF!,#REF!,$A13,#REF!,"&lt;="&amp;AJ$4))*80%/(180-AJ$4),AK$4&gt;=$C13,($L13-SUM(#REF!))*80%/(180-AJ$4))</f>
        <v>#REF!</v>
      </c>
      <c r="AL13" s="32" t="e" cm="1">
        <f t="array" aca="1" ref="AL13" ca="1">_xlfn.IFS(AL$4&lt;$C13,($L13-SUMIFS(#REF!,#REF!,$A13,#REF!,"&lt;="&amp;AK$4))*80%/(180-AK$4),AL$4&gt;=$C13,($L13-SUM(#REF!))*80%/(180-AK$4))</f>
        <v>#REF!</v>
      </c>
      <c r="AM13" s="32" t="e" cm="1">
        <f t="array" aca="1" ref="AM13" ca="1">_xlfn.IFS(AM$4&lt;$C13,($L13-SUMIFS(#REF!,#REF!,$A13,#REF!,"&lt;="&amp;AL$4))*80%/(180-AL$4),AM$4&gt;=$C13,($L13-SUM(#REF!))*80%/(180-AL$4))</f>
        <v>#REF!</v>
      </c>
      <c r="AN13" s="32" t="e" cm="1">
        <f t="array" aca="1" ref="AN13" ca="1">_xlfn.IFS(AN$4&lt;$C13,($L13-SUMIFS(#REF!,#REF!,$A13,#REF!,"&lt;="&amp;AM$4))*80%/(180-AM$4),AN$4&gt;=$C13,($L13-SUM(#REF!))*80%/(180-AM$4))</f>
        <v>#REF!</v>
      </c>
      <c r="AO13" s="32" t="e" cm="1">
        <f t="array" aca="1" ref="AO13" ca="1">_xlfn.IFS(AO$4&lt;$C13,($L13-SUMIFS(#REF!,#REF!,$A13,#REF!,"&lt;="&amp;AN$4))*80%/(180-AN$4),AO$4&gt;=$C13,($L13-SUM(#REF!))*80%/(180-AN$4))</f>
        <v>#REF!</v>
      </c>
      <c r="AP13" s="32" t="e" cm="1">
        <f t="array" aca="1" ref="AP13" ca="1">_xlfn.IFS(AP$4&lt;$C13,($L13-SUMIFS(#REF!,#REF!,$A13,#REF!,"&lt;="&amp;AO$4))*80%/(180-AO$4),AP$4&gt;=$C13,($L13-SUM(#REF!))*80%/(180-AO$4))</f>
        <v>#REF!</v>
      </c>
      <c r="AQ13" s="32" t="e" cm="1">
        <f t="array" aca="1" ref="AQ13" ca="1">_xlfn.IFS(AQ$4&lt;$C13,($L13-SUMIFS(#REF!,#REF!,$A13,#REF!,"&lt;="&amp;AP$4))*80%/(180-AP$4),AQ$4&gt;=$C13,($L13-SUM(#REF!))*80%/(180-AP$4))</f>
        <v>#REF!</v>
      </c>
      <c r="AR13" s="32" t="e" cm="1">
        <f t="array" aca="1" ref="AR13" ca="1">_xlfn.IFS(AR$4&lt;$C13,($L13-SUMIFS(#REF!,#REF!,$A13,#REF!,"&lt;="&amp;AQ$4))*80%/(180-AQ$4),AR$4&gt;=$C13,($L13-SUM(#REF!))*80%/(180-AQ$4))</f>
        <v>#REF!</v>
      </c>
      <c r="AS13" s="32" t="e" cm="1">
        <f t="array" aca="1" ref="AS13" ca="1">_xlfn.IFS(AS$4&lt;$C13,($L13-SUMIFS(#REF!,#REF!,$A13,#REF!,"&lt;="&amp;AR$4))*80%/(180-AR$4),AS$4&gt;=$C13,($L13-SUM(#REF!))*80%/(180-AR$4))</f>
        <v>#REF!</v>
      </c>
      <c r="AT13" s="32" t="e" cm="1">
        <f t="array" aca="1" ref="AT13" ca="1">_xlfn.IFS(AT$4&lt;$C13,($L13-SUMIFS(#REF!,#REF!,$A13,#REF!,"&lt;="&amp;AS$4))*110%/(180-AS$4),AT$4&gt;=$C13,($L13-SUM(#REF!))*110%/(180-AS$4))</f>
        <v>#REF!</v>
      </c>
      <c r="AU13" s="32" t="e" cm="1">
        <f t="array" aca="1" ref="AU13" ca="1">_xlfn.IFS(AU$4&lt;$C13,($L13-SUMIFS(#REF!,#REF!,$A13,#REF!,"&lt;="&amp;AT$4))*110%/(180-AT$4),AU$4&gt;=$C13,($L13-SUM(#REF!))*110%/(180-AT$4))</f>
        <v>#REF!</v>
      </c>
      <c r="AV13" s="32" t="e" cm="1">
        <f t="array" aca="1" ref="AV13" ca="1">_xlfn.IFS(AV$4&lt;$C13,($L13-SUMIFS(#REF!,#REF!,$A13,#REF!,"&lt;="&amp;AU$4))*110%/(180-AU$4),AV$4&gt;=$C13,($L13-SUM(#REF!))*110%/(180-AU$4))</f>
        <v>#REF!</v>
      </c>
      <c r="AW13" s="32" t="e" cm="1">
        <f t="array" aca="1" ref="AW13" ca="1">_xlfn.IFS(AW$4&lt;$C13,($L13-SUMIFS(#REF!,#REF!,$A13,#REF!,"&lt;="&amp;AV$4))*110%/(180-AV$4),AW$4&gt;=$C13,($L13-SUM(#REF!))*110%/(180-AV$4))</f>
        <v>#REF!</v>
      </c>
      <c r="AX13" s="32" t="e" cm="1">
        <f t="array" aca="1" ref="AX13" ca="1">_xlfn.IFS(AX$4&lt;$C13,($L13-SUMIFS(#REF!,#REF!,$A13,#REF!,"&lt;="&amp;AW$4))*110%/(180-AW$4),AX$4&gt;=$C13,($L13-SUM(#REF!))*110%/(180-AW$4))</f>
        <v>#REF!</v>
      </c>
      <c r="AY13" s="32" t="e" cm="1">
        <f t="array" aca="1" ref="AY13" ca="1">_xlfn.IFS(AY$4&lt;$C13,($L13-SUMIFS(#REF!,#REF!,$A13,#REF!,"&lt;="&amp;AX$4))*110%/(180-AX$4),AY$4&gt;=$C13,($L13-SUM(#REF!))*110%/(180-AX$4))</f>
        <v>#REF!</v>
      </c>
      <c r="AZ13" s="32" t="e" cm="1">
        <f t="array" aca="1" ref="AZ13" ca="1">_xlfn.IFS(AZ$4&lt;$C13,($L13-SUMIFS(#REF!,#REF!,$A13,#REF!,"&lt;="&amp;AY$4))*110%/(180-AY$4),AZ$4&gt;=$C13,($L13-SUM(#REF!))*110%/(180-AY$4))</f>
        <v>#REF!</v>
      </c>
      <c r="BA13" s="32" t="e" cm="1">
        <f t="array" aca="1" ref="BA13" ca="1">_xlfn.IFS(BA$4&lt;$C13,($L13-SUMIFS(#REF!,#REF!,$A13,#REF!,"&lt;="&amp;AZ$4))*110%/(180-AZ$4),BA$4&gt;=$C13,($L13-SUM(#REF!))*110%/(180-AZ$4))</f>
        <v>#REF!</v>
      </c>
      <c r="BB13" s="32" t="e" cm="1">
        <f t="array" aca="1" ref="BB13" ca="1">_xlfn.IFS(BB$4&lt;$C13,($L13-SUMIFS(#REF!,#REF!,$A13,#REF!,"&lt;="&amp;BA$4))*110%/(180-BA$4),BB$4&gt;=$C13,($L13-SUM(#REF!))*110%/(180-BA$4))</f>
        <v>#REF!</v>
      </c>
      <c r="BC13" s="32" t="e" cm="1">
        <f t="array" aca="1" ref="BC13" ca="1">_xlfn.IFS(BC$4&lt;$C13,($L13-SUMIFS(#REF!,#REF!,$A13,#REF!,"&lt;="&amp;BB$4))*110%/(180-BB$4),BC$4&gt;=$C13,($L13-SUM(#REF!))*110%/(180-BB$4))</f>
        <v>#REF!</v>
      </c>
      <c r="BD13" s="32" t="e" cm="1">
        <f t="array" aca="1" ref="BD13" ca="1">_xlfn.IFS(BD$4&lt;$C13,($L13-SUMIFS(#REF!,#REF!,$A13,#REF!,"&lt;="&amp;BC$4))*110%/(180-BC$4),BD$4&gt;=$C13,($L13-SUM(#REF!))*110%/(180-BC$4))</f>
        <v>#REF!</v>
      </c>
      <c r="BE13" s="32" t="e" cm="1">
        <f t="array" aca="1" ref="BE13" ca="1">_xlfn.IFS(BE$4&lt;$C13,($L13-SUMIFS(#REF!,#REF!,$A13,#REF!,"&lt;="&amp;BD$4))*110%/(180-BD$4),BE$4&gt;=$C13,($L13-SUM(#REF!))*110%/(180-BD$4))</f>
        <v>#REF!</v>
      </c>
      <c r="BF13" s="32" t="e" cm="1">
        <f t="array" aca="1" ref="BF13" ca="1">_xlfn.IFS(BF$4&lt;$C13,($L13-SUMIFS(#REF!,#REF!,$A13,#REF!,"&lt;="&amp;BE$4))*110%/(180-BE$4),BF$4&gt;=$C13,($L13-SUM(#REF!))*110%/(180-BE$4))</f>
        <v>#REF!</v>
      </c>
      <c r="BG13" s="32" t="e" cm="1">
        <f t="array" aca="1" ref="BG13" ca="1">_xlfn.IFS(BG$4&lt;$C13,($L13-SUMIFS(#REF!,#REF!,$A13,#REF!,"&lt;="&amp;BF$4))*110%/(180-BF$4),BG$4&gt;=$C13,($L13-SUM(#REF!))*110%/(180-BF$4))</f>
        <v>#REF!</v>
      </c>
      <c r="BH13" s="32" t="e" cm="1">
        <f t="array" aca="1" ref="BH13" ca="1">_xlfn.IFS(BH$4&lt;$C13,($L13-SUMIFS(#REF!,#REF!,$A13,#REF!,"&lt;="&amp;BG$4))*110%/(180-BG$4),BH$4&gt;=$C13,($L13-SUM(#REF!))*110%/(180-BG$4))</f>
        <v>#REF!</v>
      </c>
      <c r="BI13" s="32" t="e" cm="1">
        <f t="array" aca="1" ref="BI13" ca="1">_xlfn.IFS(BI$4&lt;$C13,($L13-SUMIFS(#REF!,#REF!,$A13,#REF!,"&lt;="&amp;BH$4))*110%/(180-BH$4),BI$4&gt;=$C13,($L13-SUM(#REF!))*110%/(180-BH$4))</f>
        <v>#REF!</v>
      </c>
      <c r="BJ13" s="32" t="e" cm="1">
        <f t="array" aca="1" ref="BJ13" ca="1">_xlfn.IFS(BJ$4&lt;$C13,($L13-SUMIFS(#REF!,#REF!,$A13,#REF!,"&lt;="&amp;BI$4))*110%/(180-BI$4),BJ$4&gt;=$C13,($L13-SUM(#REF!))*110%/(180-BI$4))</f>
        <v>#REF!</v>
      </c>
      <c r="BK13" s="32" t="e" cm="1">
        <f t="array" aca="1" ref="BK13" ca="1">_xlfn.IFS(BK$4&lt;$C13,($L13-SUMIFS(#REF!,#REF!,$A13,#REF!,"&lt;="&amp;BJ$4))*110%/(180-BJ$4),BK$4&gt;=$C13,($L13-SUM(#REF!))*110%/(180-BJ$4))</f>
        <v>#REF!</v>
      </c>
      <c r="BL13" s="32" t="e" cm="1">
        <f t="array" aca="1" ref="BL13" ca="1">_xlfn.IFS(BL$4&lt;$C13,($L13-SUMIFS(#REF!,#REF!,$A13,#REF!,"&lt;="&amp;BK$4))*110%/(180-BK$4),BL$4&gt;=$C13,($L13-SUM(#REF!))*110%/(180-BK$4))</f>
        <v>#REF!</v>
      </c>
      <c r="BM13" s="32" t="e" cm="1">
        <f t="array" aca="1" ref="BM13" ca="1">_xlfn.IFS(BM$4&lt;$C13,($L13-SUMIFS(#REF!,#REF!,$A13,#REF!,"&lt;="&amp;BL$4))*110%/(180-BL$4),BM$4&gt;=$C13,($L13-SUM(#REF!))*110%/(180-BL$4))</f>
        <v>#REF!</v>
      </c>
      <c r="BN13" s="32" t="e" cm="1">
        <f t="array" aca="1" ref="BN13" ca="1">_xlfn.IFS(BN$4&lt;$C13,($L13-SUMIFS(#REF!,#REF!,$A13,#REF!,"&lt;="&amp;BM$4))*110%/(180-BM$4),BN$4&gt;=$C13,($L13-SUM(#REF!))*110%/(180-BM$4))</f>
        <v>#REF!</v>
      </c>
      <c r="BO13" s="32" t="e" cm="1">
        <f t="array" aca="1" ref="BO13" ca="1">_xlfn.IFS(BO$4&lt;$C13,($L13-SUMIFS(#REF!,#REF!,$A13,#REF!,"&lt;="&amp;BN$4))*110%/(180-BN$4),BO$4&gt;=$C13,($L13-SUM(#REF!))*110%/(180-BN$4))</f>
        <v>#REF!</v>
      </c>
      <c r="BP13" s="32" t="e" cm="1">
        <f t="array" aca="1" ref="BP13" ca="1">_xlfn.IFS(BP$4&lt;$C13,($L13-SUMIFS(#REF!,#REF!,$A13,#REF!,"&lt;="&amp;BO$4))*110%/(180-BO$4),BP$4&gt;=$C13,($L13-SUM(#REF!))*110%/(180-BO$4))</f>
        <v>#REF!</v>
      </c>
      <c r="BQ13" s="32" t="e" cm="1">
        <f t="array" aca="1" ref="BQ13" ca="1">_xlfn.IFS(BQ$4&lt;$C13,($L13-SUMIFS(#REF!,#REF!,$A13,#REF!,"&lt;="&amp;BP$4))*110%/(180-BP$4),BQ$4&gt;=$C13,($L13-SUM(#REF!))*110%/(180-BP$4))</f>
        <v>#REF!</v>
      </c>
      <c r="BR13" s="32" t="e" cm="1">
        <f t="array" aca="1" ref="BR13" ca="1">_xlfn.IFS(BR$4&lt;$C13,($L13-SUMIFS(#REF!,#REF!,$A13,#REF!,"&lt;="&amp;BQ$4))*110%/(180-BQ$4),BR$4&gt;=$C13,($L13-SUM(#REF!))*110%/(180-BQ$4))</f>
        <v>#REF!</v>
      </c>
      <c r="BS13" s="32" t="e" cm="1">
        <f t="array" aca="1" ref="BS13" ca="1">_xlfn.IFS(BS$4&lt;$C13,($L13-SUMIFS(#REF!,#REF!,$A13,#REF!,"&lt;="&amp;BR$4))*110%/(180-BR$4),BS$4&gt;=$C13,($L13-SUM(#REF!))*110%/(180-BR$4))</f>
        <v>#REF!</v>
      </c>
      <c r="BT13" s="32" t="e" cm="1">
        <f t="array" aca="1" ref="BT13" ca="1">_xlfn.IFS(BT$4&lt;$C13,($L13-SUMIFS(#REF!,#REF!,$A13,#REF!,"&lt;="&amp;BS$4))*110%/(180-BS$4),BT$4&gt;=$C13,($L13-SUM(#REF!))*110%/(180-BS$4))</f>
        <v>#REF!</v>
      </c>
      <c r="BU13" s="32" t="e" cm="1">
        <f t="array" aca="1" ref="BU13" ca="1">_xlfn.IFS(BU$4&lt;$C13,($L13-SUMIFS(#REF!,#REF!,$A13,#REF!,"&lt;="&amp;BT$4))*110%/(180-BT$4),BU$4&gt;=$C13,($L13-SUM(#REF!))*110%/(180-BT$4))</f>
        <v>#REF!</v>
      </c>
      <c r="BV13" s="32" t="e" cm="1">
        <f t="array" aca="1" ref="BV13" ca="1">_xlfn.IFS(BV$4&lt;$C13,($L13-SUMIFS(#REF!,#REF!,$A13,#REF!,"&lt;="&amp;BU$4))*110%/(180-BU$4),BV$4&gt;=$C13,($L13-SUM(#REF!))*110%/(180-BU$4))</f>
        <v>#REF!</v>
      </c>
      <c r="BW13" s="32" t="e" cm="1">
        <f t="array" aca="1" ref="BW13" ca="1">_xlfn.IFS(BW$4&lt;$C13,($L13-SUMIFS(#REF!,#REF!,$A13,#REF!,"&lt;="&amp;BV$4))*110%/(180-BV$4),BW$4&gt;=$C13,($L13-SUM(#REF!))*110%/(180-BV$4))</f>
        <v>#REF!</v>
      </c>
      <c r="BX13" s="32" t="e" cm="1">
        <f t="array" aca="1" ref="BX13" ca="1">_xlfn.IFS(BX$4&lt;$C13,($L13-SUMIFS(#REF!,#REF!,$A13,#REF!,"&lt;="&amp;BW$4))*110%/(180-BW$4),BX$4&gt;=$C13,($L13-SUM(#REF!))*110%/(180-BW$4))</f>
        <v>#REF!</v>
      </c>
      <c r="BY13" s="32" t="e" cm="1">
        <f t="array" aca="1" ref="BY13" ca="1">_xlfn.IFS(BY$4&lt;$C13,($L13-SUMIFS(#REF!,#REF!,$A13,#REF!,"&lt;="&amp;BX$4))*110%/(180-BX$4),BY$4&gt;=$C13,($L13-SUM(#REF!))*110%/(180-BX$4))</f>
        <v>#REF!</v>
      </c>
      <c r="BZ13" s="32" t="e" cm="1">
        <f t="array" aca="1" ref="BZ13" ca="1">_xlfn.IFS(BZ$4&lt;$C13,($L13-SUMIFS(#REF!,#REF!,$A13,#REF!,"&lt;="&amp;BY$4))*110%/(180-BY$4),BZ$4&gt;=$C13,($L13-SUM(#REF!))*110%/(180-BY$4))</f>
        <v>#REF!</v>
      </c>
      <c r="CA13" s="32" t="e" cm="1">
        <f t="array" aca="1" ref="CA13" ca="1">_xlfn.IFS(CA$4&lt;$C13,($L13-SUMIFS(#REF!,#REF!,$A13,#REF!,"&lt;="&amp;BZ$4))*110%/(180-BZ$4),CA$4&gt;=$C13,($L13-SUM(#REF!))*110%/(180-BZ$4))</f>
        <v>#REF!</v>
      </c>
      <c r="CB13" s="32" t="e" cm="1">
        <f t="array" aca="1" ref="CB13" ca="1">_xlfn.IFS(CB$4&lt;$C13,($L13-SUMIFS(#REF!,#REF!,$A13,#REF!,"&lt;="&amp;CA$4))*110%/(180-CA$4),CB$4&gt;=$C13,($L13-SUM(#REF!))*110%/(180-CA$4))</f>
        <v>#REF!</v>
      </c>
      <c r="CC13" s="32" t="e" cm="1">
        <f t="array" aca="1" ref="CC13" ca="1">_xlfn.IFS(CC$4&lt;$C13,($L13-SUMIFS(#REF!,#REF!,$A13,#REF!,"&lt;="&amp;CB$4))*110%/(180-CB$4),CC$4&gt;=$C13,($L13-SUM(#REF!))*110%/(180-CB$4))</f>
        <v>#REF!</v>
      </c>
      <c r="CD13" s="32" t="e" cm="1">
        <f t="array" aca="1" ref="CD13" ca="1">_xlfn.IFS(CD$4&lt;$C13,($L13-SUMIFS(#REF!,#REF!,$A13,#REF!,"&lt;="&amp;CC$4))*110%/(180-CC$4),CD$4&gt;=$C13,($L13-SUM(#REF!))*110%/(180-CC$4))</f>
        <v>#REF!</v>
      </c>
      <c r="CE13" s="32" t="e" cm="1">
        <f t="array" aca="1" ref="CE13" ca="1">_xlfn.IFS(CE$4&lt;$C13,($L13-SUMIFS(#REF!,#REF!,$A13,#REF!,"&lt;="&amp;CD$4))*110%/(180-CD$4),CE$4&gt;=$C13,($L13-SUM(#REF!))*110%/(180-CD$4))</f>
        <v>#REF!</v>
      </c>
      <c r="CF13" s="32" t="e" cm="1">
        <f t="array" aca="1" ref="CF13" ca="1">_xlfn.IFS(CF$4&lt;$C13,($L13-SUMIFS(#REF!,#REF!,$A13,#REF!,"&lt;="&amp;CE$4))*110%/(180-CE$4),CF$4&gt;=$C13,($L13-SUM(#REF!))*110%/(180-CE$4))</f>
        <v>#REF!</v>
      </c>
      <c r="CG13" s="32" t="e" cm="1">
        <f t="array" aca="1" ref="CG13" ca="1">_xlfn.IFS(CG$4&lt;$C13,($L13-SUMIFS(#REF!,#REF!,$A13,#REF!,"&lt;="&amp;CF$4))*110%/(180-CF$4),CG$4&gt;=$C13,($L13-SUM(#REF!))*110%/(180-CF$4))</f>
        <v>#REF!</v>
      </c>
      <c r="CH13" s="32" t="e" cm="1">
        <f t="array" aca="1" ref="CH13" ca="1">_xlfn.IFS(CH$4&lt;$C13,($L13-SUMIFS(#REF!,#REF!,$A13,#REF!,"&lt;="&amp;CG$4))*110%/(180-CG$4),CH$4&gt;=$C13,($L13-SUM(#REF!))*110%/(180-CG$4))</f>
        <v>#REF!</v>
      </c>
      <c r="CI13" s="32" t="e" cm="1">
        <f t="array" aca="1" ref="CI13" ca="1">_xlfn.IFS(CI$4&lt;$C13,($L13-SUMIFS(#REF!,#REF!,$A13,#REF!,"&lt;="&amp;CH$4))*110%/(180-CH$4),CI$4&gt;=$C13,($L13-SUM(#REF!))*110%/(180-CH$4))</f>
        <v>#REF!</v>
      </c>
      <c r="CJ13" s="32" t="e" cm="1">
        <f t="array" aca="1" ref="CJ13" ca="1">_xlfn.IFS(CJ$4&lt;$C13,($L13-SUMIFS(#REF!,#REF!,$A13,#REF!,"&lt;="&amp;CI$4))*110%/(180-CI$4),CJ$4&gt;=$C13,($L13-SUM(#REF!))*110%/(180-CI$4))</f>
        <v>#REF!</v>
      </c>
      <c r="CK13" s="32" t="e" cm="1">
        <f t="array" aca="1" ref="CK13" ca="1">_xlfn.IFS(CK$4&lt;$C13,($L13-SUMIFS(#REF!,#REF!,$A13,#REF!,"&lt;="&amp;CJ$4))*110%/(180-CJ$4),CK$4&gt;=$C13,($L13-SUM(#REF!))*110%/(180-CJ$4))</f>
        <v>#REF!</v>
      </c>
      <c r="CL13" s="32" t="e" cm="1">
        <f t="array" aca="1" ref="CL13" ca="1">_xlfn.IFS(CL$4&lt;$C13,($L13-SUMIFS(#REF!,#REF!,$A13,#REF!,"&lt;="&amp;CK$4))*110%/(180-CK$4),CL$4&gt;=$C13,($L13-SUM(#REF!))*110%/(180-CK$4))</f>
        <v>#REF!</v>
      </c>
      <c r="CM13" s="32" t="e" cm="1">
        <f t="array" aca="1" ref="CM13" ca="1">_xlfn.IFS(CM$4&lt;$C13,($L13-SUMIFS(#REF!,#REF!,$A13,#REF!,"&lt;="&amp;CL$4))*110%/(180-CL$4),CM$4&gt;=$C13,($L13-SUM(#REF!))*110%/(180-CL$4))</f>
        <v>#REF!</v>
      </c>
      <c r="CN13" s="32" t="e" cm="1">
        <f t="array" aca="1" ref="CN13" ca="1">_xlfn.IFS(CN$4&lt;$C13,($L13-SUMIFS(#REF!,#REF!,$A13,#REF!,"&lt;="&amp;CM$4))*110%/(180-CM$4),CN$4&gt;=$C13,($L13-SUM(#REF!))*110%/(180-CM$4))</f>
        <v>#REF!</v>
      </c>
      <c r="CO13" s="32" t="e" cm="1">
        <f t="array" aca="1" ref="CO13" ca="1">_xlfn.IFS(CO$4&lt;$C13,($L13-SUMIFS(#REF!,#REF!,$A13,#REF!,"&lt;="&amp;CN$4))*110%/(180-CN$4),CO$4&gt;=$C13,($L13-SUM(#REF!))*110%/(180-CN$4))</f>
        <v>#REF!</v>
      </c>
      <c r="CP13" s="32" t="e" cm="1">
        <f t="array" aca="1" ref="CP13" ca="1">_xlfn.IFS(CP$4&lt;$C13,($L13-SUMIFS(#REF!,#REF!,$A13,#REF!,"&lt;="&amp;CO$4))*110%/(180-CO$4),CP$4&gt;=$C13,($L13-SUM(#REF!))*110%/(180-CO$4))</f>
        <v>#REF!</v>
      </c>
      <c r="CQ13" s="32" t="e" cm="1">
        <f t="array" aca="1" ref="CQ13" ca="1">_xlfn.IFS(CQ$4&lt;$C13,($L13-SUMIFS(#REF!,#REF!,$A13,#REF!,"&lt;="&amp;CP$4))*110%/(180-CP$4),CQ$4&gt;=$C13,($L13-SUM(#REF!))*110%/(180-CP$4))</f>
        <v>#REF!</v>
      </c>
      <c r="CR13" s="32" t="e" cm="1">
        <f t="array" aca="1" ref="CR13" ca="1">_xlfn.IFS(CR$4&lt;$C13,($L13-SUMIFS(#REF!,#REF!,$A13,#REF!,"&lt;="&amp;CQ$4))*110%/(180-CQ$4),CR$4&gt;=$C13,($L13-SUM(#REF!))*110%/(180-CQ$4))</f>
        <v>#REF!</v>
      </c>
      <c r="CS13" s="32" t="e" cm="1">
        <f t="array" aca="1" ref="CS13" ca="1">_xlfn.IFS(CS$4&lt;$C13,($L13-SUMIFS(#REF!,#REF!,$A13,#REF!,"&lt;="&amp;CR$4))*110%/(180-CR$4),CS$4&gt;=$C13,($L13-SUM(#REF!))*110%/(180-CR$4))</f>
        <v>#REF!</v>
      </c>
      <c r="CT13" s="32" t="e" cm="1">
        <f t="array" aca="1" ref="CT13" ca="1">_xlfn.IFS(CT$4&lt;$C13,($L13-SUMIFS(#REF!,#REF!,$A13,#REF!,"&lt;="&amp;CS$4))*110%/(180-CS$4),CT$4&gt;=$C13,($L13-SUM(#REF!))*110%/(180-CS$4))</f>
        <v>#REF!</v>
      </c>
      <c r="CU13" s="32" t="e" cm="1">
        <f t="array" aca="1" ref="CU13" ca="1">_xlfn.IFS(CU$4&lt;$C13,($L13-SUMIFS(#REF!,#REF!,$A13,#REF!,"&lt;="&amp;CT$4))*110%/(180-CT$4),CU$4&gt;=$C13,($L13-SUM(#REF!))*110%/(180-CT$4))</f>
        <v>#REF!</v>
      </c>
      <c r="CV13" s="32" t="e" cm="1">
        <f t="array" aca="1" ref="CV13" ca="1">_xlfn.IFS(CV$4&lt;$C13,($L13-SUMIFS(#REF!,#REF!,$A13,#REF!,"&lt;="&amp;CU$4))*110%/(180-CU$4),CV$4&gt;=$C13,($L13-SUM(#REF!))*110%/(180-CU$4))</f>
        <v>#REF!</v>
      </c>
      <c r="CW13" s="32" t="e" cm="1">
        <f t="array" aca="1" ref="CW13" ca="1">_xlfn.IFS(CW$4&lt;$C13,($L13-SUMIFS(#REF!,#REF!,$A13,#REF!,"&lt;="&amp;CV$4))*110%/(180-CV$4),CW$4&gt;=$C13,($L13-SUM(#REF!))*110%/(180-CV$4))</f>
        <v>#REF!</v>
      </c>
      <c r="CX13" s="32" t="e" cm="1">
        <f t="array" aca="1" ref="CX13" ca="1">_xlfn.IFS(CX$4&lt;$C13,($L13-SUMIFS(#REF!,#REF!,$A13,#REF!,"&lt;="&amp;CW$4))*110%/(180-CW$4),CX$4&gt;=$C13,($L13-SUM(#REF!))*110%/(180-CW$4))</f>
        <v>#REF!</v>
      </c>
      <c r="CY13" s="32" t="e" cm="1">
        <f t="array" aca="1" ref="CY13" ca="1">_xlfn.IFS(CY$4&lt;$C13,($L13-SUMIFS(#REF!,#REF!,$A13,#REF!,"&lt;="&amp;CX$4))*110%/(180-CX$4),CY$4&gt;=$C13,($L13-SUM(#REF!))*110%/(180-CX$4))</f>
        <v>#REF!</v>
      </c>
      <c r="CZ13" s="32" t="e" cm="1">
        <f t="array" aca="1" ref="CZ13" ca="1">_xlfn.IFS(CZ$4&lt;$C13,($L13-SUMIFS(#REF!,#REF!,$A13,#REF!,"&lt;="&amp;CY$4))*110%/(180-CY$4),CZ$4&gt;=$C13,($L13-SUM(#REF!))*110%/(180-CY$4))</f>
        <v>#REF!</v>
      </c>
      <c r="DA13" s="32" t="e" cm="1">
        <f t="array" aca="1" ref="DA13" ca="1">_xlfn.IFS(DA$4&lt;$C13,($L13-SUMIFS(#REF!,#REF!,$A13,#REF!,"&lt;="&amp;CZ$4))*110%/(180-CZ$4),DA$4&gt;=$C13,($L13-SUM(#REF!))*110%/(180-CZ$4))</f>
        <v>#REF!</v>
      </c>
      <c r="DB13" s="32" t="e" cm="1">
        <f t="array" aca="1" ref="DB13" ca="1">_xlfn.IFS(DB$4&lt;$C13,($L13-SUMIFS(#REF!,#REF!,$A13,#REF!,"&lt;="&amp;DA$4))*110%/(180-DA$4),DB$4&gt;=$C13,($L13-SUM(#REF!))*110%/(180-DA$4))</f>
        <v>#REF!</v>
      </c>
      <c r="DC13" s="32" t="e" cm="1">
        <f t="array" aca="1" ref="DC13" ca="1">_xlfn.IFS(DC$4&lt;$C13,($L13-SUMIFS(#REF!,#REF!,$A13,#REF!,"&lt;="&amp;DB$4))*110%/(180-DB$4),DC$4&gt;=$C13,($L13-SUM(#REF!))*110%/(180-DB$4))</f>
        <v>#REF!</v>
      </c>
      <c r="DD13" s="32" t="e" cm="1">
        <f t="array" aca="1" ref="DD13" ca="1">_xlfn.IFS(DD$4&lt;$C13,($L13-SUMIFS(#REF!,#REF!,$A13,#REF!,"&lt;="&amp;DC$4))*110%/(180-DC$4),DD$4&gt;=$C13,($L13-SUM(#REF!))*110%/(180-DC$4))</f>
        <v>#REF!</v>
      </c>
      <c r="DE13" s="32" t="e" cm="1">
        <f t="array" aca="1" ref="DE13" ca="1">_xlfn.IFS(DE$4&lt;$C13,($L13-SUMIFS(#REF!,#REF!,$A13,#REF!,"&lt;="&amp;DD$4))*110%/(180-DD$4),DE$4&gt;=$C13,($L13-SUM(#REF!))*110%/(180-DD$4))</f>
        <v>#REF!</v>
      </c>
      <c r="DF13" s="32" t="e" cm="1">
        <f t="array" aca="1" ref="DF13" ca="1">_xlfn.IFS(DF$4&lt;$C13,($L13-SUMIFS(#REF!,#REF!,$A13,#REF!,"&lt;="&amp;DE$4))*110%/(180-DE$4),DF$4&gt;=$C13,($L13-SUM(#REF!))*110%/(180-DE$4))</f>
        <v>#REF!</v>
      </c>
      <c r="DG13" s="32" t="e" cm="1">
        <f t="array" aca="1" ref="DG13" ca="1">_xlfn.IFS(DG$4&lt;$C13,($L13-SUMIFS(#REF!,#REF!,$A13,#REF!,"&lt;="&amp;DF$4))*110%/(180-DF$4),DG$4&gt;=$C13,($L13-SUM(#REF!))*110%/(180-DF$4))</f>
        <v>#REF!</v>
      </c>
      <c r="DH13" s="32" t="e" cm="1">
        <f t="array" aca="1" ref="DH13" ca="1">_xlfn.IFS(DH$4&lt;$C13,($L13-SUMIFS(#REF!,#REF!,$A13,#REF!,"&lt;="&amp;DG$4))*110%/(180-DG$4),DH$4&gt;=$C13,($L13-SUM(#REF!))*110%/(180-DG$4))</f>
        <v>#REF!</v>
      </c>
      <c r="DI13" s="32" t="e" cm="1">
        <f t="array" aca="1" ref="DI13" ca="1">_xlfn.IFS(DI$4&lt;$C13,($L13-SUMIFS(#REF!,#REF!,$A13,#REF!,"&lt;="&amp;DH$4))*110%/(180-DH$4),DI$4&gt;=$C13,($L13-SUM(#REF!))*110%/(180-DH$4))</f>
        <v>#REF!</v>
      </c>
      <c r="DJ13" s="32" t="e" cm="1">
        <f t="array" aca="1" ref="DJ13" ca="1">_xlfn.IFS(DJ$4&lt;$C13,($L13-SUMIFS(#REF!,#REF!,$A13,#REF!,"&lt;="&amp;DI$4))*110%/(180-DI$4),DJ$4&gt;=$C13,($L13-SUM(#REF!))*110%/(180-DI$4))</f>
        <v>#REF!</v>
      </c>
      <c r="DK13" s="32" t="e" cm="1">
        <f t="array" aca="1" ref="DK13" ca="1">_xlfn.IFS(DK$4&lt;$C13,($L13-SUMIFS(#REF!,#REF!,$A13,#REF!,"&lt;="&amp;DJ$4))*110%/(180-DJ$4),DK$4&gt;=$C13,($L13-SUM(#REF!))*110%/(180-DJ$4))</f>
        <v>#REF!</v>
      </c>
      <c r="DL13" s="32" t="e" cm="1">
        <f t="array" aca="1" ref="DL13" ca="1">_xlfn.IFS(DL$4&lt;$C13,($L13-SUMIFS(#REF!,#REF!,$A13,#REF!,"&lt;="&amp;DK$4))*110%/(180-DK$4),DL$4&gt;=$C13,($L13-SUM(#REF!))*110%/(180-DK$4))</f>
        <v>#REF!</v>
      </c>
      <c r="DM13" s="32" t="e" cm="1">
        <f t="array" aca="1" ref="DM13" ca="1">_xlfn.IFS(DM$4&lt;$C13,($L13-SUMIFS(#REF!,#REF!,$A13,#REF!,"&lt;="&amp;DL$4))*110%/(180-DL$4),DM$4&gt;=$C13,($L13-SUM(#REF!))*110%/(180-DL$4))</f>
        <v>#REF!</v>
      </c>
      <c r="DN13" s="32" t="e" cm="1">
        <f t="array" aca="1" ref="DN13" ca="1">_xlfn.IFS(DN$4&lt;$C13,($L13-SUMIFS(#REF!,#REF!,$A13,#REF!,"&lt;="&amp;DM$4))*110%/(180-DM$4),DN$4&gt;=$C13,($L13-SUM(#REF!))*110%/(180-DM$4))</f>
        <v>#REF!</v>
      </c>
      <c r="DO13" s="32" t="e" cm="1">
        <f t="array" aca="1" ref="DO13" ca="1">_xlfn.IFS(DO$4&lt;$C13,($L13-SUMIFS(#REF!,#REF!,$A13,#REF!,"&lt;="&amp;DN$4))*110%/(180-DN$4),DO$4&gt;=$C13,($L13-SUM(#REF!))*110%/(180-DN$4))</f>
        <v>#REF!</v>
      </c>
      <c r="DP13" s="32" t="e" cm="1">
        <f t="array" aca="1" ref="DP13" ca="1">_xlfn.IFS(DP$4&lt;$C13,($L13-SUMIFS(#REF!,#REF!,$A13,#REF!,"&lt;="&amp;DO$4))*110%/(180-DO$4),DP$4&gt;=$C13,($L13-SUM(#REF!))*110%/(180-DO$4))</f>
        <v>#REF!</v>
      </c>
      <c r="DQ13" s="32" t="e" cm="1">
        <f t="array" aca="1" ref="DQ13" ca="1">_xlfn.IFS(DQ$4&lt;$C13,($L13-SUMIFS(#REF!,#REF!,$A13,#REF!,"&lt;="&amp;DP$4))*110%/(180-DP$4),DQ$4&gt;=$C13,($L13-SUM(#REF!))*110%/(180-DP$4))</f>
        <v>#REF!</v>
      </c>
      <c r="DR13" s="32" t="e" cm="1">
        <f t="array" aca="1" ref="DR13" ca="1">_xlfn.IFS(DR$4&lt;$C13,($L13-SUMIFS(#REF!,#REF!,$A13,#REF!,"&lt;="&amp;DQ$4))*110%/(180-DQ$4),DR$4&gt;=$C13,($L13-SUM(#REF!))*110%/(180-DQ$4))</f>
        <v>#REF!</v>
      </c>
      <c r="DS13" s="32" t="e" cm="1">
        <f t="array" aca="1" ref="DS13" ca="1">_xlfn.IFS(DS$4&lt;$C13,($L13-SUMIFS(#REF!,#REF!,$A13,#REF!,"&lt;="&amp;DR$4))*110%/(180-DR$4),DS$4&gt;=$C13,($L13-SUM(#REF!))*110%/(180-DR$4))</f>
        <v>#REF!</v>
      </c>
      <c r="DT13" s="32" t="e" cm="1">
        <f t="array" aca="1" ref="DT13" ca="1">_xlfn.IFS(DT$4&lt;$C13,($L13-SUMIFS(#REF!,#REF!,$A13,#REF!,"&lt;="&amp;DS$4))*110%/(180-DS$4),DT$4&gt;=$C13,($L13-SUM(#REF!))*110%/(180-DS$4))</f>
        <v>#REF!</v>
      </c>
      <c r="DU13" s="32" t="e" cm="1">
        <f t="array" aca="1" ref="DU13" ca="1">_xlfn.IFS(DU$4&lt;$C13,($L13-SUMIFS(#REF!,#REF!,$A13,#REF!,"&lt;="&amp;DT$4))*110%/(180-DT$4),DU$4&gt;=$C13,($L13-SUM(#REF!))*110%/(180-DT$4))</f>
        <v>#REF!</v>
      </c>
      <c r="DV13" s="32" t="e" cm="1">
        <f t="array" aca="1" ref="DV13" ca="1">_xlfn.IFS(DV$4&lt;$C13,($L13-SUMIFS(#REF!,#REF!,$A13,#REF!,"&lt;="&amp;DU$4))*110%/(180-DU$4),DV$4&gt;=$C13,($L13-SUM(#REF!))*110%/(180-DU$4))</f>
        <v>#REF!</v>
      </c>
      <c r="DW13" s="32" t="e" cm="1">
        <f t="array" aca="1" ref="DW13" ca="1">_xlfn.IFS(DW$4&lt;$C13,($L13-SUMIFS(#REF!,#REF!,$A13,#REF!,"&lt;="&amp;DV$4))*110%/(180-DV$4),DW$4&gt;=$C13,($L13-SUM(#REF!))*110%/(180-DV$4))</f>
        <v>#REF!</v>
      </c>
      <c r="DX13" s="32" t="e" cm="1">
        <f t="array" aca="1" ref="DX13" ca="1">_xlfn.IFS(DX$4&lt;$C13,($L13-SUMIFS(#REF!,#REF!,$A13,#REF!,"&lt;="&amp;DW$4))*110%/(180-DW$4),DX$4&gt;=$C13,($L13-SUM(#REF!))*110%/(180-DW$4))</f>
        <v>#REF!</v>
      </c>
      <c r="DY13" s="32" t="e" cm="1">
        <f t="array" aca="1" ref="DY13" ca="1">_xlfn.IFS(DY$4&lt;$C13,($L13-SUMIFS(#REF!,#REF!,$A13,#REF!,"&lt;="&amp;DX$4))*110%/(180-DX$4),DY$4&gt;=$C13,($L13-SUM(#REF!))*110%/(180-DX$4))</f>
        <v>#REF!</v>
      </c>
      <c r="DZ13" s="32" t="e" cm="1">
        <f t="array" aca="1" ref="DZ13" ca="1">_xlfn.IFS(DZ$4&lt;$C13,($L13-SUMIFS(#REF!,#REF!,$A13,#REF!,"&lt;="&amp;DY$4))*110%/(180-DY$4),DZ$4&gt;=$C13,($L13-SUM(#REF!))*110%/(180-DY$4))</f>
        <v>#REF!</v>
      </c>
      <c r="EA13" s="32" t="e" cm="1">
        <f t="array" aca="1" ref="EA13" ca="1">_xlfn.IFS(EA$4&lt;$C13,($L13-SUMIFS(#REF!,#REF!,$A13,#REF!,"&lt;="&amp;DZ$4))*110%/(180-DZ$4),EA$4&gt;=$C13,($L13-SUM(#REF!))*110%/(180-DZ$4))</f>
        <v>#REF!</v>
      </c>
      <c r="EB13" s="32" t="e" cm="1">
        <f t="array" aca="1" ref="EB13" ca="1">_xlfn.IFS(EB$4&lt;$C13,($L13-SUMIFS(#REF!,#REF!,$A13,#REF!,"&lt;="&amp;EA$4))*110%/(180-EA$4),EB$4&gt;=$C13,($L13-SUM(#REF!))*110%/(180-EA$4))</f>
        <v>#REF!</v>
      </c>
      <c r="EC13" s="32" t="e" cm="1">
        <f t="array" aca="1" ref="EC13" ca="1">_xlfn.IFS(EC$4&lt;$C13,($L13-SUMIFS(#REF!,#REF!,$A13,#REF!,"&lt;="&amp;EB$4))*110%/(180-EB$4),EC$4&gt;=$C13,($L13-SUM(#REF!))*110%/(180-EB$4))</f>
        <v>#REF!</v>
      </c>
      <c r="ED13" s="32" t="e" cm="1">
        <f t="array" aca="1" ref="ED13" ca="1">_xlfn.IFS(ED$4&lt;$C13,($L13-SUMIFS(#REF!,#REF!,$A13,#REF!,"&lt;="&amp;EC$4))*110%/(180-EC$4),ED$4&gt;=$C13,($L13-SUM(#REF!))*110%/(180-EC$4))</f>
        <v>#REF!</v>
      </c>
      <c r="EE13" s="32" t="e" cm="1">
        <f t="array" aca="1" ref="EE13" ca="1">_xlfn.IFS(EE$4&lt;$C13,($L13-SUMIFS(#REF!,#REF!,$A13,#REF!,"&lt;="&amp;ED$4))*110%/(180-ED$4),EE$4&gt;=$C13,($L13-SUM(#REF!))*110%/(180-ED$4))</f>
        <v>#REF!</v>
      </c>
      <c r="EF13" s="32" t="e" cm="1">
        <f t="array" aca="1" ref="EF13" ca="1">_xlfn.IFS(EF$4&lt;$C13,($L13-SUMIFS(#REF!,#REF!,$A13,#REF!,"&lt;="&amp;EE$4))*100%/(180-EE$4),EF$4&gt;=$C13,($L13-SUM(#REF!))*100%/(180-EE$4))</f>
        <v>#REF!</v>
      </c>
      <c r="EG13" s="32" t="e" cm="1">
        <f t="array" aca="1" ref="EG13" ca="1">_xlfn.IFS(EG$4&lt;$C13,($L13-SUMIFS(#REF!,#REF!,$A13,#REF!,"&lt;="&amp;EF$4))*100%/(180-EF$4),EG$4&gt;=$C13,($L13-SUM(#REF!))*100%/(180-EF$4))</f>
        <v>#REF!</v>
      </c>
      <c r="EH13" s="32" t="e" cm="1">
        <f t="array" aca="1" ref="EH13" ca="1">_xlfn.IFS(EH$4&lt;$C13,($L13-SUMIFS(#REF!,#REF!,$A13,#REF!,"&lt;="&amp;EG$4))*100%/(180-EG$4),EH$4&gt;=$C13,($L13-SUM(#REF!))*100%/(180-EG$4))</f>
        <v>#REF!</v>
      </c>
      <c r="EI13" s="32" t="e" cm="1">
        <f t="array" aca="1" ref="EI13" ca="1">_xlfn.IFS(EI$4&lt;$C13,($L13-SUMIFS(#REF!,#REF!,$A13,#REF!,"&lt;="&amp;EH$4))*100%/(180-EH$4),EI$4&gt;=$C13,($L13-SUM(#REF!))*100%/(180-EH$4))</f>
        <v>#REF!</v>
      </c>
      <c r="EJ13" s="32" t="e" cm="1">
        <f t="array" aca="1" ref="EJ13" ca="1">_xlfn.IFS(EJ$4&lt;$C13,($L13-SUMIFS(#REF!,#REF!,$A13,#REF!,"&lt;="&amp;EI$4))*100%/(180-EI$4),EJ$4&gt;=$C13,($L13-SUM(#REF!))*100%/(180-EI$4))</f>
        <v>#REF!</v>
      </c>
      <c r="EK13" s="32" t="e" cm="1">
        <f t="array" aca="1" ref="EK13" ca="1">_xlfn.IFS(EK$4&lt;$C13,($L13-SUMIFS(#REF!,#REF!,$A13,#REF!,"&lt;="&amp;EJ$4))*100%/(180-EJ$4),EK$4&gt;=$C13,($L13-SUM(#REF!))*100%/(180-EJ$4))</f>
        <v>#REF!</v>
      </c>
      <c r="EL13" s="32" t="e" cm="1">
        <f t="array" aca="1" ref="EL13" ca="1">_xlfn.IFS(EL$4&lt;$C13,($L13-SUMIFS(#REF!,#REF!,$A13,#REF!,"&lt;="&amp;EK$4))*100%/(180-EK$4),EL$4&gt;=$C13,($L13-SUM(#REF!))*100%/(180-EK$4))</f>
        <v>#REF!</v>
      </c>
      <c r="EM13" s="32" t="e" cm="1">
        <f t="array" aca="1" ref="EM13" ca="1">_xlfn.IFS(EM$4&lt;$C13,($L13-SUMIFS(#REF!,#REF!,$A13,#REF!,"&lt;="&amp;EL$4))*100%/(180-EL$4),EM$4&gt;=$C13,($L13-SUM(#REF!))*100%/(180-EL$4))</f>
        <v>#REF!</v>
      </c>
      <c r="EN13" s="32" t="e" cm="1">
        <f t="array" aca="1" ref="EN13" ca="1">_xlfn.IFS(EN$4&lt;$C13,($L13-SUMIFS(#REF!,#REF!,$A13,#REF!,"&lt;="&amp;EM$4))*100%/(180-EM$4),EN$4&gt;=$C13,($L13-SUM(#REF!))*100%/(180-EM$4))</f>
        <v>#REF!</v>
      </c>
      <c r="EO13" s="32" t="e" cm="1">
        <f t="array" aca="1" ref="EO13" ca="1">_xlfn.IFS(EO$4&lt;$C13,($L13-SUMIFS(#REF!,#REF!,$A13,#REF!,"&lt;="&amp;EN$4))*100%/(180-EN$4),EO$4&gt;=$C13,($L13-SUM(#REF!))*100%/(180-EN$4))</f>
        <v>#REF!</v>
      </c>
      <c r="EP13" s="32" t="e" cm="1">
        <f t="array" aca="1" ref="EP13" ca="1">_xlfn.IFS(EP$4&lt;$C13,($L13-SUMIFS(#REF!,#REF!,$A13,#REF!,"&lt;="&amp;EO$4))*100%/(180-EO$4),EP$4&gt;=$C13,($L13-SUM(#REF!))*100%/(180-EO$4))</f>
        <v>#REF!</v>
      </c>
      <c r="EQ13" s="32" t="e" cm="1">
        <f t="array" aca="1" ref="EQ13" ca="1">_xlfn.IFS(EQ$4&lt;$C13,($L13-SUMIFS(#REF!,#REF!,$A13,#REF!,"&lt;="&amp;EP$4))*100%/(180-EP$4),EQ$4&gt;=$C13,($L13-SUM(#REF!))*100%/(180-EP$4))</f>
        <v>#REF!</v>
      </c>
      <c r="ER13" s="32" t="e" cm="1">
        <f t="array" aca="1" ref="ER13" ca="1">_xlfn.IFS(ER$4&lt;$C13,($L13-SUMIFS(#REF!,#REF!,$A13,#REF!,"&lt;="&amp;EQ$4))*100%/(180-EQ$4),ER$4&gt;=$C13,($L13-SUM(#REF!))*100%/(180-EQ$4))</f>
        <v>#REF!</v>
      </c>
      <c r="ES13" s="32" t="e" cm="1">
        <f t="array" aca="1" ref="ES13" ca="1">_xlfn.IFS(ES$4&lt;$C13,($L13-SUMIFS(#REF!,#REF!,$A13,#REF!,"&lt;="&amp;ER$4))*100%/(180-ER$4),ES$4&gt;=$C13,($L13-SUM(#REF!))*100%/(180-ER$4))</f>
        <v>#REF!</v>
      </c>
      <c r="ET13" s="32" t="e" cm="1">
        <f t="array" aca="1" ref="ET13" ca="1">_xlfn.IFS(ET$4&lt;$C13,($L13-SUMIFS(#REF!,#REF!,$A13,#REF!,"&lt;="&amp;ES$4))*100%/(180-ES$4),ET$4&gt;=$C13,($L13-SUM(#REF!))*100%/(180-ES$4))</f>
        <v>#REF!</v>
      </c>
      <c r="EU13" s="32" t="e" cm="1">
        <f t="array" aca="1" ref="EU13" ca="1">_xlfn.IFS(EU$4&lt;$C13,($L13-SUMIFS(#REF!,#REF!,$A13,#REF!,"&lt;="&amp;ET$4))*100%/(180-ET$4),EU$4&gt;=$C13,($L13-SUM(#REF!))*100%/(180-ET$4))</f>
        <v>#REF!</v>
      </c>
      <c r="EV13" s="32" t="e" cm="1">
        <f t="array" aca="1" ref="EV13" ca="1">_xlfn.IFS(EV$4&lt;$C13,($L13-SUMIFS(#REF!,#REF!,$A13,#REF!,"&lt;="&amp;EU$4))*100%/(180-EU$4),EV$4&gt;=$C13,($L13-SUM(#REF!))*100%/(180-EU$4))</f>
        <v>#REF!</v>
      </c>
      <c r="EW13" s="32" t="e" cm="1">
        <f t="array" aca="1" ref="EW13" ca="1">_xlfn.IFS(EW$4&lt;$C13,($L13-SUMIFS(#REF!,#REF!,$A13,#REF!,"&lt;="&amp;EV$4))*100%/(180-EV$4),EW$4&gt;=$C13,($L13-SUM(#REF!))*100%/(180-EV$4))</f>
        <v>#REF!</v>
      </c>
      <c r="EX13" s="32" t="e" cm="1">
        <f t="array" aca="1" ref="EX13" ca="1">_xlfn.IFS(EX$4&lt;$C13,($L13-SUMIFS(#REF!,#REF!,$A13,#REF!,"&lt;="&amp;EW$4))*100%/(180-EW$4),EX$4&gt;=$C13,($L13-SUM(#REF!))*100%/(180-EW$4))</f>
        <v>#REF!</v>
      </c>
      <c r="EY13" s="32" t="e" cm="1">
        <f t="array" aca="1" ref="EY13" ca="1">_xlfn.IFS(EY$4&lt;$C13,($L13-SUMIFS(#REF!,#REF!,$A13,#REF!,"&lt;="&amp;EX$4))*100%/(180-EX$4),EY$4&gt;=$C13,($L13-SUM(#REF!))*100%/(180-EX$4))</f>
        <v>#REF!</v>
      </c>
      <c r="EZ13" s="32" t="e" cm="1">
        <f t="array" aca="1" ref="EZ13" ca="1">_xlfn.IFS(EZ$4&lt;$C13,($L13-SUMIFS(#REF!,#REF!,$A13,#REF!,"&lt;="&amp;EY$4))*100%/(180-EY$4),EZ$4&gt;=$C13,($L13-SUM(#REF!))*100%/(180-EY$4))</f>
        <v>#REF!</v>
      </c>
      <c r="FA13" s="32" t="e" cm="1">
        <f t="array" aca="1" ref="FA13" ca="1">_xlfn.IFS(FA$4&lt;$C13,($L13-SUMIFS(#REF!,#REF!,$A13,#REF!,"&lt;="&amp;EZ$4))*100%/(180-EZ$4),FA$4&gt;=$C13,($L13-SUM(#REF!))*100%/(180-EZ$4))</f>
        <v>#REF!</v>
      </c>
      <c r="FB13" s="32" t="e" cm="1">
        <f t="array" aca="1" ref="FB13" ca="1">_xlfn.IFS(FB$4&lt;$C13,($L13-SUMIFS(#REF!,#REF!,$A13,#REF!,"&lt;="&amp;FA$4))*100%/(180-FA$4),FB$4&gt;=$C13,($L13-SUM(#REF!))*100%/(180-FA$4))</f>
        <v>#REF!</v>
      </c>
      <c r="FC13" s="32" t="e" cm="1">
        <f t="array" aca="1" ref="FC13" ca="1">_xlfn.IFS(FC$4&lt;$C13,($L13-SUMIFS(#REF!,#REF!,$A13,#REF!,"&lt;="&amp;FB$4))*100%/(180-FB$4),FC$4&gt;=$C13,($L13-SUM(#REF!))*100%/(180-FB$4))</f>
        <v>#REF!</v>
      </c>
      <c r="FD13" s="32" t="e" cm="1">
        <f t="array" aca="1" ref="FD13" ca="1">_xlfn.IFS(FD$4&lt;$C13,($L13-SUMIFS(#REF!,#REF!,$A13,#REF!,"&lt;="&amp;FC$4))*100%/(180-FC$4),FD$4&gt;=$C13,($L13-SUM(#REF!))*100%/(180-FC$4))</f>
        <v>#REF!</v>
      </c>
      <c r="FE13" s="32" t="e" cm="1">
        <f t="array" aca="1" ref="FE13" ca="1">_xlfn.IFS(FE$4&lt;$C13,($L13-SUMIFS(#REF!,#REF!,$A13,#REF!,"&lt;="&amp;FD$4))*100%/(180-FD$4),FE$4&gt;=$C13,($L13-SUM(#REF!))*100%/(180-FD$4))</f>
        <v>#REF!</v>
      </c>
      <c r="FF13" s="32" t="e" cm="1">
        <f t="array" aca="1" ref="FF13" ca="1">_xlfn.IFS(FF$4&lt;$C13,($L13-SUMIFS(#REF!,#REF!,$A13,#REF!,"&lt;="&amp;FE$4))*100%/(180-FE$4),FF$4&gt;=$C13,($L13-SUM(#REF!))*100%/(180-FE$4))</f>
        <v>#REF!</v>
      </c>
      <c r="FG13" s="32" t="e" cm="1">
        <f t="array" aca="1" ref="FG13" ca="1">_xlfn.IFS(FG$4&lt;$C13,($L13-SUMIFS(#REF!,#REF!,$A13,#REF!,"&lt;="&amp;FF$4))*100%/(180-FF$4),FG$4&gt;=$C13,($L13-SUM(#REF!))*100%/(180-FF$4))</f>
        <v>#REF!</v>
      </c>
      <c r="FH13" s="32" t="e" cm="1">
        <f t="array" aca="1" ref="FH13" ca="1">_xlfn.IFS(FH$4&lt;$C13,($L13-SUMIFS(#REF!,#REF!,$A13,#REF!,"&lt;="&amp;FG$4))*100%/(180-FG$4),FH$4&gt;=$C13,($L13-SUM(#REF!))*100%/(180-FG$4))</f>
        <v>#REF!</v>
      </c>
      <c r="FI13" s="32" t="e" cm="1">
        <f t="array" aca="1" ref="FI13" ca="1">_xlfn.IFS(FI$4&lt;$C13,($L13-SUMIFS(#REF!,#REF!,$A13,#REF!,"&lt;="&amp;FH$4))*100%/(180-FH$4),FI$4&gt;=$C13,($L13-SUM(#REF!))*100%/(180-FH$4))</f>
        <v>#REF!</v>
      </c>
      <c r="FJ13" s="32" t="e" cm="1">
        <f t="array" aca="1" ref="FJ13" ca="1">_xlfn.IFS(FJ$4&lt;$C13,($L13-SUMIFS(#REF!,#REF!,$A13,#REF!,"&lt;="&amp;FI$4))*100%/(180-FI$4),FJ$4&gt;=$C13,($L13-SUM(#REF!))*100%/(180-FI$4))</f>
        <v>#REF!</v>
      </c>
      <c r="FK13" s="32" t="e" cm="1">
        <f t="array" aca="1" ref="FK13" ca="1">_xlfn.IFS(FK$4&lt;$C13,($L13-SUMIFS(#REF!,#REF!,$A13,#REF!,"&lt;="&amp;FJ$4))*100%/(180-FJ$4),FK$4&gt;=$C13,($L13-SUM(#REF!))*100%/(180-FJ$4))</f>
        <v>#REF!</v>
      </c>
      <c r="FL13" s="32" t="e" cm="1">
        <f t="array" aca="1" ref="FL13" ca="1">_xlfn.IFS(FL$4&lt;$C13,($L13-SUMIFS(#REF!,#REF!,$A13,#REF!,"&lt;="&amp;FK$4))*100%/(180-FK$4),FL$4&gt;=$C13,($L13-SUM(#REF!))*100%/(180-FK$4))</f>
        <v>#REF!</v>
      </c>
      <c r="FM13" s="32" t="e" cm="1">
        <f t="array" aca="1" ref="FM13" ca="1">_xlfn.IFS(FM$4&lt;$C13,($L13-SUMIFS(#REF!,#REF!,$A13,#REF!,"&lt;="&amp;FL$4))*100%/(180-FL$4),FM$4&gt;=$C13,($L13-SUM(#REF!))*100%/(180-FL$4))</f>
        <v>#REF!</v>
      </c>
      <c r="FN13" s="32" t="e" cm="1">
        <f t="array" aca="1" ref="FN13" ca="1">_xlfn.IFS(FN$4&lt;$C13,($L13-SUMIFS(#REF!,#REF!,$A13,#REF!,"&lt;="&amp;FM$4))*100%/(180-FM$4),FN$4&gt;=$C13,($L13-SUM(#REF!))*100%/(180-FM$4))</f>
        <v>#REF!</v>
      </c>
      <c r="FO13" s="32" t="e" cm="1">
        <f t="array" aca="1" ref="FO13" ca="1">_xlfn.IFS(FO$4&lt;$C13,($L13-SUMIFS(#REF!,#REF!,$A13,#REF!,"&lt;="&amp;FN$4))*100%/(180-FN$4),FO$4&gt;=$C13,($L13-SUM(#REF!))*100%/(180-FN$4))</f>
        <v>#REF!</v>
      </c>
      <c r="FP13" s="32" t="e" cm="1">
        <f t="array" aca="1" ref="FP13" ca="1">_xlfn.IFS(FP$4&lt;$C13,($L13-SUMIFS(#REF!,#REF!,$A13,#REF!,"&lt;="&amp;FO$4))*100%/(180-FO$4),FP$4&gt;=$C13,($L13-SUM(#REF!))*100%/(180-FO$4))</f>
        <v>#REF!</v>
      </c>
      <c r="FQ13" s="32" t="e" cm="1">
        <f t="array" aca="1" ref="FQ13" ca="1">_xlfn.IFS(FQ$4&lt;$C13,($L13-SUMIFS(#REF!,#REF!,$A13,#REF!,"&lt;="&amp;FP$4))*100%/(180-FP$4),FQ$4&gt;=$C13,($L13-SUM(#REF!))*100%/(180-FP$4))</f>
        <v>#REF!</v>
      </c>
      <c r="FR13" s="32" t="e" cm="1">
        <f t="array" aca="1" ref="FR13" ca="1">_xlfn.IFS(FR$4&lt;$C13,($L13-SUMIFS(#REF!,#REF!,$A13,#REF!,"&lt;="&amp;FQ$4))*100%/(180-FQ$4),FR$4&gt;=$C13,($L13-SUM(#REF!))*100%/(180-FQ$4))</f>
        <v>#REF!</v>
      </c>
      <c r="FS13" s="32" t="e" cm="1">
        <f t="array" aca="1" ref="FS13" ca="1">_xlfn.IFS(FS$4&lt;$C13,($L13-SUMIFS(#REF!,#REF!,$A13,#REF!,"&lt;="&amp;FR$4))*100%/(180-FR$4),FS$4&gt;=$C13,($L13-SUM(#REF!))*100%/(180-FR$4))</f>
        <v>#REF!</v>
      </c>
      <c r="FT13" s="32" t="e" cm="1">
        <f t="array" aca="1" ref="FT13" ca="1">_xlfn.IFS(FT$4&lt;$C13,($L13-SUMIFS(#REF!,#REF!,$A13,#REF!,"&lt;="&amp;FS$4))*100%/(180-FS$4),FT$4&gt;=$C13,($L13-SUM(#REF!))*100%/(180-FS$4))</f>
        <v>#REF!</v>
      </c>
      <c r="FU13" s="32" t="e" cm="1">
        <f t="array" aca="1" ref="FU13" ca="1">_xlfn.IFS(FU$4&lt;$C13,($L13-SUMIFS(#REF!,#REF!,$A13,#REF!,"&lt;="&amp;FT$4))*100%/(180-FT$4),FU$4&gt;=$C13,($L13-SUM(#REF!))*100%/(180-FT$4))</f>
        <v>#REF!</v>
      </c>
      <c r="FV13" s="32" t="e" cm="1">
        <f t="array" aca="1" ref="FV13" ca="1">_xlfn.IFS(FV$4&lt;$C13,($L13-SUMIFS(#REF!,#REF!,$A13,#REF!,"&lt;="&amp;FU$4))*100%/(180-FU$4),FV$4&gt;=$C13,($L13-SUM(#REF!))*100%/(180-FU$4))</f>
        <v>#REF!</v>
      </c>
      <c r="FW13" s="32" t="e" cm="1">
        <f t="array" aca="1" ref="FW13" ca="1">_xlfn.IFS(FW$4&lt;$C13,($L13-SUMIFS(#REF!,#REF!,$A13,#REF!,"&lt;="&amp;FV$4))*100%/(180-FV$4),FW$4&gt;=$C13,($L13-SUM(#REF!))*100%/(180-FV$4))</f>
        <v>#REF!</v>
      </c>
      <c r="FX13" s="32" t="e" cm="1">
        <f t="array" aca="1" ref="FX13" ca="1">_xlfn.IFS(FX$4&lt;$C13,($L13-SUMIFS(#REF!,#REF!,$A13,#REF!,"&lt;="&amp;FW$4))*100%/(180-FW$4),FX$4&gt;=$C13,($L13-SUM(#REF!))*100%/(180-FW$4))</f>
        <v>#REF!</v>
      </c>
      <c r="FY13" s="32" t="e" cm="1">
        <f t="array" aca="1" ref="FY13" ca="1">_xlfn.IFS(FY$4&lt;$C13,($L13-SUMIFS(#REF!,#REF!,$A13,#REF!,"&lt;="&amp;FX$4))*100%/(180-FX$4),FY$4&gt;=$C13,($L13-SUM(#REF!))*100%/(180-FX$4))</f>
        <v>#REF!</v>
      </c>
      <c r="FZ13" s="32" t="e" cm="1">
        <f t="array" aca="1" ref="FZ13" ca="1">_xlfn.IFS(FZ$4&lt;$C13,($L13-SUMIFS(#REF!,#REF!,$A13,#REF!,"&lt;="&amp;FY$4))*100%/(180-FY$4),FZ$4&gt;=$C13,($L13-SUM(#REF!))*100%/(180-FY$4))</f>
        <v>#REF!</v>
      </c>
      <c r="GA13" s="32" t="e" cm="1">
        <f t="array" aca="1" ref="GA13" ca="1">_xlfn.IFS(GA$4&lt;$C13,($L13-SUMIFS(#REF!,#REF!,$A13,#REF!,"&lt;="&amp;FZ$4))*100%/(180-FZ$4),GA$4&gt;=$C13,($L13-SUM(#REF!))*100%/(180-FZ$4))</f>
        <v>#REF!</v>
      </c>
      <c r="GB13" s="32" t="e" cm="1">
        <f t="array" aca="1" ref="GB13" ca="1">_xlfn.IFS(GB$4&lt;$C13,($L13-SUMIFS(#REF!,#REF!,$A13,#REF!,"&lt;="&amp;GA$4))*100%/(180-GA$4),GB$4&gt;=$C13,($L13-SUM(#REF!))*100%/(180-GA$4))</f>
        <v>#REF!</v>
      </c>
      <c r="GC13" s="32" t="e" cm="1">
        <f t="array" aca="1" ref="GC13" ca="1">_xlfn.IFS(GC$4&lt;$C13,($L13-SUMIFS(#REF!,#REF!,$A13,#REF!,"&lt;="&amp;GB$4))*100%/(180-GB$4),GC$4&gt;=$C13,($L13-SUM(#REF!))*100%/(180-GB$4))</f>
        <v>#REF!</v>
      </c>
      <c r="GD13" s="32" t="e" cm="1">
        <f t="array" aca="1" ref="GD13" ca="1">_xlfn.IFS(GD$4&lt;$C13,($L13-SUMIFS(#REF!,#REF!,$A13,#REF!,"&lt;="&amp;GC$4))*100%/(180-GC$4),GD$4&gt;=$C13,($L13-SUM(#REF!))*100%/(180-GC$4))</f>
        <v>#REF!</v>
      </c>
      <c r="GE13" s="32" t="e" cm="1">
        <f t="array" aca="1" ref="GE13" ca="1">_xlfn.IFS(GE$4&lt;$C13,($L13-SUMIFS(#REF!,#REF!,$A13,#REF!,"&lt;="&amp;GD$4))*100%/(180-GD$4),GE$4&gt;=$C13,($L13-SUM(#REF!))*100%/(180-GD$4))</f>
        <v>#REF!</v>
      </c>
      <c r="GF13" s="32" t="e" cm="1">
        <f t="array" aca="1" ref="GF13" ca="1">_xlfn.IFS(GF$4&lt;$C13,($L13-SUMIFS(#REF!,#REF!,$A13,#REF!,"&lt;="&amp;GE$4))*100%/(180-GE$4),GF$4&gt;=$C13,($L13-SUM(#REF!))*100%/(180-GE$4))</f>
        <v>#REF!</v>
      </c>
      <c r="GG13" s="32" t="e" cm="1">
        <f t="array" aca="1" ref="GG13" ca="1">_xlfn.IFS(GG$4&lt;$C13,($L13-SUMIFS(#REF!,#REF!,$A13,#REF!,"&lt;="&amp;GF$4))*100%/(180-GF$4),GG$4&gt;=$C13,($L13-SUM(#REF!))*100%/(180-GF$4))</f>
        <v>#REF!</v>
      </c>
      <c r="GH13" s="32" t="e" cm="1">
        <f t="array" aca="1" ref="GH13" ca="1">_xlfn.IFS(GH$4&lt;$C13,($L13-SUMIFS(#REF!,#REF!,$A13,#REF!,"&lt;="&amp;GG$4))*100%/(180-GG$4),GH$4&gt;=$C13,($L13-SUM(#REF!))*100%/(180-GG$4))</f>
        <v>#REF!</v>
      </c>
      <c r="GI13" s="32" t="e" cm="1">
        <f t="array" aca="1" ref="GI13" ca="1">_xlfn.IFS(GI$4&lt;$C13,($L13-SUMIFS(#REF!,#REF!,$A13,#REF!,"&lt;="&amp;GH$4))*100%/(180-GH$4),GI$4&gt;=$C13,($L13-SUM(#REF!))*100%/(180-GH$4))</f>
        <v>#REF!</v>
      </c>
      <c r="GJ13" s="32" t="e" cm="1">
        <f t="array" aca="1" ref="GJ13" ca="1">_xlfn.IFS(GJ$4&lt;$C13,($L13-SUMIFS(#REF!,#REF!,$A13,#REF!,"&lt;="&amp;GI$4))*100%/(180-GI$4),GJ$4&gt;=$C13,($L13-SUM(#REF!))*100%/(180-GI$4))</f>
        <v>#REF!</v>
      </c>
      <c r="GK13" s="32" t="e" cm="1">
        <f t="array" aca="1" ref="GK13" ca="1">_xlfn.IFS(GK$4&lt;$C13,($L13-SUMIFS(#REF!,#REF!,$A13,#REF!,"&lt;="&amp;GJ$4))*100%/(180-GJ$4),GK$4&gt;=$C13,($L13-SUM(#REF!))*100%/(180-GJ$4))</f>
        <v>#REF!</v>
      </c>
      <c r="GL13" s="32" t="e" cm="1">
        <f t="array" aca="1" ref="GL13" ca="1">_xlfn.IFS(GL$4&lt;$C13,($L13-SUMIFS(#REF!,#REF!,$A13,#REF!,"&lt;="&amp;GK$4))*100%/(180-GK$4),GL$4&gt;=$C13,($L13-SUM(#REF!))*100%/(180-GK$4))</f>
        <v>#REF!</v>
      </c>
      <c r="GM13" s="32" t="e" cm="1">
        <f t="array" aca="1" ref="GM13" ca="1">_xlfn.IFS(GM$4&lt;$C13,($L13-SUMIFS(#REF!,#REF!,$A13,#REF!,"&lt;="&amp;GL$4))*100%/(180-GL$4),GM$4&gt;=$C13,($L13-SUM(#REF!))*100%/(180-GL$4))</f>
        <v>#REF!</v>
      </c>
    </row>
    <row r="14" spans="1:195" x14ac:dyDescent="0.25">
      <c r="A14" s="8" t="s">
        <v>20</v>
      </c>
      <c r="B14" s="19">
        <v>45971</v>
      </c>
      <c r="C14" s="8">
        <f ca="1">TODAY()-B14+1</f>
        <v>228</v>
      </c>
      <c r="D14" s="8" t="str" cm="1">
        <f t="array" ref="D14" ca="1">_xlfn.IFS(AND(TODAY()-B14&lt;=30,TODAY()-B14&gt;=0),"新品期",AND(TODAY()-B14&gt;=31,TODAY()-B14&lt;=120),"热销期",AND(TODAY()-B14&gt;=121,TODAY()-B14&lt;=180),"清货期",TODAY()-B14&gt;180,"滞销")</f>
        <v>滞销</v>
      </c>
      <c r="E14" s="8">
        <f t="shared" si="16"/>
        <v>2000</v>
      </c>
      <c r="F14" s="8"/>
      <c r="G14" s="8">
        <f>SUMIF([1]销售表!I:I,A14,[1]销售表!J:J)</f>
        <v>0</v>
      </c>
      <c r="H14" s="9">
        <f t="shared" si="17"/>
        <v>0</v>
      </c>
      <c r="I14" s="8"/>
      <c r="J14" s="8">
        <f>SUMIFS([1]销售表!J:J,[1]销售表!I:I,A14,[1]销售表!E:E,"可取")</f>
        <v>0</v>
      </c>
      <c r="K14" s="8"/>
      <c r="L14" s="8">
        <v>2000</v>
      </c>
      <c r="M14" s="10">
        <f>_xlfn.XLOOKUP(A14,[1]销售表!I:I,[1]销售表!J:J,0,0,-1)</f>
        <v>0</v>
      </c>
      <c r="N14" s="22" t="str" cm="1">
        <f t="array" ref="N14" ca="1">IF(C14&gt;180,"0",INDEX(P14:GM14,C14))</f>
        <v>0</v>
      </c>
      <c r="O14" s="20"/>
      <c r="P14" s="21">
        <f>SUMIFS([1]销售表!J:J,[1]销售表!I:I,A14,[1]销售表!B:B,$P$4)</f>
        <v>0</v>
      </c>
      <c r="Q14" s="21" t="e">
        <f ca="1">IF($C14&gt;Q$4,SUMIFS([1]销售表!$J:$J,[1]销售表!$I:$I,$A14,[1]销售表!$B:$B,Q$4),($L14-SUM($P14))*80%/(180-P$4))</f>
        <v>#VALUE!</v>
      </c>
      <c r="R14" s="21" t="e">
        <f ca="1">IF($C14&gt;R$4,SUMIFS([1]销售表!$J:$J,[1]销售表!$I:$I,$A14,[1]销售表!$B:$B,R$4),($L14-SUM($P14:Q14))*80%/(180-Q$4))</f>
        <v>#VALUE!</v>
      </c>
      <c r="S14" s="21" t="e">
        <f ca="1">IF($C14&gt;S$4,SUMIFS([1]销售表!$J:$J,[1]销售表!$I:$I,$A14,[1]销售表!$B:$B,S$4),($L14-SUM($P14:R14))*80%/(180-R$4))</f>
        <v>#VALUE!</v>
      </c>
      <c r="T14" s="21" t="e">
        <f ca="1">IF($C14&gt;T$4,SUMIFS([1]销售表!$J:$J,[1]销售表!$I:$I,$A14,[1]销售表!$B:$B,T$4),($L14-SUM($P14:S14))*80%/(180-S$4))</f>
        <v>#VALUE!</v>
      </c>
      <c r="U14" s="21" t="e">
        <f ca="1">IF($C14&gt;U$4,SUMIFS([1]销售表!$J:$J,[1]销售表!$I:$I,$A14,[1]销售表!$B:$B,U$4),($L14-SUM($P14:T14))*80%/(180-T$4))</f>
        <v>#VALUE!</v>
      </c>
      <c r="V14" s="21" t="e">
        <f ca="1">IF($C14&gt;V$4,SUMIFS([1]销售表!$J:$J,[1]销售表!$I:$I,$A14,[1]销售表!$B:$B,V$4),($L14-SUM($P14:U14))*80%/(180-U$4))</f>
        <v>#VALUE!</v>
      </c>
      <c r="W14" s="21" t="e">
        <f ca="1">IF($C14&gt;W$4,SUMIFS([1]销售表!$J:$J,[1]销售表!$I:$I,$A14,[1]销售表!$B:$B,W$4),($L14-SUM($P14:V14))*80%/(180-V$4))</f>
        <v>#VALUE!</v>
      </c>
      <c r="X14" s="21" t="e">
        <f ca="1">IF($C14&gt;X$4,SUMIFS([1]销售表!$J:$J,[1]销售表!$I:$I,$A14,[1]销售表!$B:$B,X$4),($L14-SUM($P14:W14))*80%/(180-W$4))</f>
        <v>#VALUE!</v>
      </c>
      <c r="Y14" s="21" t="e">
        <f ca="1">IF($C14&gt;Y$4,SUMIFS([1]销售表!$J:$J,[1]销售表!$I:$I,$A14,[1]销售表!$B:$B,Y$4),($L14-SUM($P14:X14))*80%/(180-X$4))</f>
        <v>#VALUE!</v>
      </c>
      <c r="Z14" s="21" t="e">
        <f ca="1">IF($C14&gt;Z$4,SUMIFS([1]销售表!$J:$J,[1]销售表!$I:$I,$A14,[1]销售表!$B:$B,Z$4),($L14-SUM($P14:Y14))*80%/(180-Y$4))</f>
        <v>#VALUE!</v>
      </c>
      <c r="AA14" s="21" t="e">
        <f ca="1">IF($C14&gt;AA$4,SUMIFS([1]销售表!$J:$J,[1]销售表!$I:$I,$A14,[1]销售表!$B:$B,AA$4),($L14-SUM($P14:Z14))*80%/(180-Z$4))</f>
        <v>#VALUE!</v>
      </c>
      <c r="AB14" s="21" t="e">
        <f ca="1">IF($C14&gt;AB$4,SUMIFS([1]销售表!$J:$J,[1]销售表!$I:$I,$A14,[1]销售表!$B:$B,AB$4),($L14-SUM($P14:AA14))*80%/(180-AA$4))</f>
        <v>#VALUE!</v>
      </c>
      <c r="AC14" s="21" t="e">
        <f ca="1">IF($C14&gt;AC$4,SUMIFS([1]销售表!$J:$J,[1]销售表!$I:$I,$A14,[1]销售表!$B:$B,AC$4),($L14-SUM($P14:AB14))*80%/(180-AB$4))</f>
        <v>#VALUE!</v>
      </c>
      <c r="AD14" s="21" t="e">
        <f ca="1">IF($C14&gt;AD$4,SUMIFS([1]销售表!$J:$J,[1]销售表!$I:$I,$A14,[1]销售表!$B:$B,AD$4),($L14-SUM($P14:AC14))*80%/(180-AC$4))</f>
        <v>#VALUE!</v>
      </c>
      <c r="AE14" s="21" t="e">
        <f ca="1">IF($C14&gt;AE$4,SUMIFS([1]销售表!$J:$J,[1]销售表!$I:$I,$A14,[1]销售表!$B:$B,AE$4),($L14-SUM($P14:AD14))*80%/(180-AD$4))</f>
        <v>#VALUE!</v>
      </c>
      <c r="AF14" s="21" t="e">
        <f ca="1">IF($C14&gt;AF$4,SUMIFS([1]销售表!$J:$J,[1]销售表!$I:$I,$A14,[1]销售表!$B:$B,AF$4),($L14-SUM($P14:AE14))*80%/(180-AE$4))</f>
        <v>#VALUE!</v>
      </c>
      <c r="AG14" s="21" t="e">
        <f ca="1">IF($C14&gt;AG$4,SUMIFS([1]销售表!$J:$J,[1]销售表!$I:$I,$A14,[1]销售表!$B:$B,AG$4),($L14-SUM($P14:AF14))*80%/(180-AF$4))</f>
        <v>#VALUE!</v>
      </c>
      <c r="AH14" s="21" t="e">
        <f ca="1">IF($C14&gt;AH$4,SUMIFS([1]销售表!$J:$J,[1]销售表!$I:$I,$A14,[1]销售表!$B:$B,AH$4),($L14-SUM($P14:AG14))*80%/(180-AG$4))</f>
        <v>#VALUE!</v>
      </c>
      <c r="AI14" s="21" t="e">
        <f ca="1">IF($C14&gt;AI$4,SUMIFS([1]销售表!$J:$J,[1]销售表!$I:$I,$A14,[1]销售表!$B:$B,AI$4),($L14-SUM($P14:AH14))*80%/(180-AH$4))</f>
        <v>#VALUE!</v>
      </c>
      <c r="AJ14" s="21" t="e">
        <f ca="1">IF($C14&gt;AJ$4,SUMIFS([1]销售表!$J:$J,[1]销售表!$I:$I,$A14,[1]销售表!$B:$B,AJ$4),($L14-SUM($P14:AI14))*80%/(180-AI$4))</f>
        <v>#VALUE!</v>
      </c>
      <c r="AK14" s="21" t="e">
        <f ca="1">IF($C14&gt;AK$4,SUMIFS([1]销售表!$J:$J,[1]销售表!$I:$I,$A14,[1]销售表!$B:$B,AK$4),($L14-SUM($P14:AJ14))*80%/(180-AJ$4))</f>
        <v>#VALUE!</v>
      </c>
      <c r="AL14" s="21" t="e">
        <f ca="1">IF($C14&gt;AL$4,SUMIFS([1]销售表!$J:$J,[1]销售表!$I:$I,$A14,[1]销售表!$B:$B,AL$4),($L14-SUM($P14:AK14))*80%/(180-AK$4))</f>
        <v>#VALUE!</v>
      </c>
      <c r="AM14" s="21" t="e">
        <f ca="1">IF($C14&gt;AM$4,SUMIFS([1]销售表!$J:$J,[1]销售表!$I:$I,$A14,[1]销售表!$B:$B,AM$4),($L14-SUM($P14:AL14))*80%/(180-AL$4))</f>
        <v>#VALUE!</v>
      </c>
      <c r="AN14" s="21" t="e">
        <f ca="1">IF($C14&gt;AN$4,SUMIFS([1]销售表!$J:$J,[1]销售表!$I:$I,$A14,[1]销售表!$B:$B,AN$4),($L14-SUM($P14:AM14))*80%/(180-AM$4))</f>
        <v>#VALUE!</v>
      </c>
      <c r="AO14" s="21" t="e">
        <f ca="1">IF($C14&gt;AO$4,SUMIFS([1]销售表!$J:$J,[1]销售表!$I:$I,$A14,[1]销售表!$B:$B,AO$4),($L14-SUM($P14:AN14))*80%/(180-AN$4))</f>
        <v>#VALUE!</v>
      </c>
      <c r="AP14" s="21" t="e">
        <f ca="1">IF($C14&gt;AP$4,SUMIFS([1]销售表!$J:$J,[1]销售表!$I:$I,$A14,[1]销售表!$B:$B,AP$4),($L14-SUM($P14:AO14))*80%/(180-AO$4))</f>
        <v>#VALUE!</v>
      </c>
      <c r="AQ14" s="21" t="e">
        <f ca="1">IF($C14&gt;AQ$4,SUMIFS([1]销售表!$J:$J,[1]销售表!$I:$I,$A14,[1]销售表!$B:$B,AQ$4),($L14-SUM($P14:AP14))*80%/(180-AP$4))</f>
        <v>#VALUE!</v>
      </c>
      <c r="AR14" s="21" t="e">
        <f ca="1">IF($C14&gt;AR$4,SUMIFS([1]销售表!$J:$J,[1]销售表!$I:$I,$A14,[1]销售表!$B:$B,AR$4),($L14-SUM($P14:AQ14))*80%/(180-AQ$4))</f>
        <v>#VALUE!</v>
      </c>
      <c r="AS14" s="21" t="e">
        <f ca="1">IF($C14&gt;AS$4,SUMIFS([1]销售表!$J:$J,[1]销售表!$I:$I,$A14,[1]销售表!$B:$B,AS$4),($L14-SUM($P14:AR14))*80%/(180-AR$4))</f>
        <v>#VALUE!</v>
      </c>
      <c r="AT14" s="21" t="e">
        <f ca="1">IF($C14&gt;AT$4,SUMIFS([1]销售表!$J:$J,[1]销售表!$I:$I,$A14,[1]销售表!$B:$B,AT$4),($L14-SUM($P14:AS14))*110%/(180-AS$4))</f>
        <v>#VALUE!</v>
      </c>
      <c r="AU14" s="21" t="e">
        <f ca="1">IF($C14&gt;AU$4,SUMIFS([1]销售表!$J:$J,[1]销售表!$I:$I,$A14,[1]销售表!$B:$B,AU$4),($L14-SUM($P14:AT14))*110%/(180-AT$4))</f>
        <v>#VALUE!</v>
      </c>
      <c r="AV14" s="21" t="e">
        <f ca="1">IF($C14&gt;AV$4,SUMIFS([1]销售表!$J:$J,[1]销售表!$I:$I,$A14,[1]销售表!$B:$B,AV$4),($L14-SUM($P14:AU14))*110%/(180-AU$4))</f>
        <v>#VALUE!</v>
      </c>
      <c r="AW14" s="21" t="e">
        <f ca="1">IF($C14&gt;AW$4,SUMIFS([1]销售表!$J:$J,[1]销售表!$I:$I,$A14,[1]销售表!$B:$B,AW$4),($L14-SUM($P14:AV14))*110%/(180-AV$4))</f>
        <v>#VALUE!</v>
      </c>
      <c r="AX14" s="21" t="e">
        <f ca="1">IF($C14&gt;AX$4,SUMIFS([1]销售表!$J:$J,[1]销售表!$I:$I,$A14,[1]销售表!$B:$B,AX$4),($L14-SUM($P14:AW14))*110%/(180-AW$4))</f>
        <v>#VALUE!</v>
      </c>
      <c r="AY14" s="21" t="e">
        <f ca="1">IF($C14&gt;AY$4,SUMIFS([1]销售表!$J:$J,[1]销售表!$I:$I,$A14,[1]销售表!$B:$B,AY$4),($L14-SUM($P14:AX14))*110%/(180-AX$4))</f>
        <v>#VALUE!</v>
      </c>
      <c r="AZ14" s="21" t="e">
        <f ca="1">IF($C14&gt;AZ$4,SUMIFS([1]销售表!$J:$J,[1]销售表!$I:$I,$A14,[1]销售表!$B:$B,AZ$4),($L14-SUM($P14:AY14))*110%/(180-AY$4))</f>
        <v>#VALUE!</v>
      </c>
      <c r="BA14" s="21" t="e">
        <f ca="1">IF($C14&gt;BA$4,SUMIFS([1]销售表!$J:$J,[1]销售表!$I:$I,$A14,[1]销售表!$B:$B,BA$4),($L14-SUM($P14:AZ14))*110%/(180-AZ$4))</f>
        <v>#VALUE!</v>
      </c>
      <c r="BB14" s="21" t="e">
        <f ca="1">IF($C14&gt;BB$4,SUMIFS([1]销售表!$J:$J,[1]销售表!$I:$I,$A14,[1]销售表!$B:$B,BB$4),($L14-SUM($P14:BA14))*110%/(180-BA$4))</f>
        <v>#VALUE!</v>
      </c>
      <c r="BC14" s="21" t="e">
        <f ca="1">IF($C14&gt;BC$4,SUMIFS([1]销售表!$J:$J,[1]销售表!$I:$I,$A14,[1]销售表!$B:$B,BC$4),($L14-SUM($P14:BB14))*110%/(180-BB$4))</f>
        <v>#VALUE!</v>
      </c>
      <c r="BD14" s="21" t="e">
        <f ca="1">IF($C14&gt;BD$4,SUMIFS([1]销售表!$J:$J,[1]销售表!$I:$I,$A14,[1]销售表!$B:$B,BD$4),($L14-SUM($P14:BC14))*110%/(180-BC$4))</f>
        <v>#VALUE!</v>
      </c>
      <c r="BE14" s="21" t="e">
        <f ca="1">IF($C14&gt;BE$4,SUMIFS([1]销售表!$J:$J,[1]销售表!$I:$I,$A14,[1]销售表!$B:$B,BE$4),($L14-SUM($P14:BD14))*110%/(180-BD$4))</f>
        <v>#VALUE!</v>
      </c>
      <c r="BF14" s="21" t="e">
        <f ca="1">IF($C14&gt;BF$4,SUMIFS([1]销售表!$J:$J,[1]销售表!$I:$I,$A14,[1]销售表!$B:$B,BF$4),($L14-SUM($P14:BE14))*110%/(180-BE$4))</f>
        <v>#VALUE!</v>
      </c>
      <c r="BG14" s="21" t="e">
        <f ca="1">IF($C14&gt;BG$4,SUMIFS([1]销售表!$J:$J,[1]销售表!$I:$I,$A14,[1]销售表!$B:$B,BG$4),($L14-SUM($P14:BF14))*110%/(180-BF$4))</f>
        <v>#VALUE!</v>
      </c>
      <c r="BH14" s="21" t="e">
        <f ca="1">IF($C14&gt;BH$4,SUMIFS([1]销售表!$J:$J,[1]销售表!$I:$I,$A14,[1]销售表!$B:$B,BH$4),($L14-SUM($P14:BG14))*110%/(180-BG$4))</f>
        <v>#VALUE!</v>
      </c>
      <c r="BI14" s="21" t="e">
        <f ca="1">IF($C14&gt;BI$4,SUMIFS([1]销售表!$J:$J,[1]销售表!$I:$I,$A14,[1]销售表!$B:$B,BI$4),($L14-SUM($P14:BH14))*110%/(180-BH$4))</f>
        <v>#VALUE!</v>
      </c>
      <c r="BJ14" s="21" t="e">
        <f ca="1">IF($C14&gt;BJ$4,SUMIFS([1]销售表!$J:$J,[1]销售表!$I:$I,$A14,[1]销售表!$B:$B,BJ$4),($L14-SUM($P14:BI14))*110%/(180-BI$4))</f>
        <v>#VALUE!</v>
      </c>
      <c r="BK14" s="21" t="e">
        <f ca="1">IF($C14&gt;BK$4,SUMIFS([1]销售表!$J:$J,[1]销售表!$I:$I,$A14,[1]销售表!$B:$B,BK$4),($L14-SUM($P14:BJ14))*110%/(180-BJ$4))</f>
        <v>#VALUE!</v>
      </c>
      <c r="BL14" s="21" t="e">
        <f ca="1">IF($C14&gt;BL$4,SUMIFS([1]销售表!$J:$J,[1]销售表!$I:$I,$A14,[1]销售表!$B:$B,BL$4),($L14-SUM($P14:BK14))*110%/(180-BK$4))</f>
        <v>#VALUE!</v>
      </c>
      <c r="BM14" s="21" t="e">
        <f ca="1">IF($C14&gt;BM$4,SUMIFS([1]销售表!$J:$J,[1]销售表!$I:$I,$A14,[1]销售表!$B:$B,BM$4),($L14-SUM($P14:BL14))*110%/(180-BL$4))</f>
        <v>#VALUE!</v>
      </c>
      <c r="BN14" s="21" t="e">
        <f ca="1">IF($C14&gt;BN$4,SUMIFS([1]销售表!$J:$J,[1]销售表!$I:$I,$A14,[1]销售表!$B:$B,BN$4),($L14-SUM($P14:BM14))*110%/(180-BM$4))</f>
        <v>#VALUE!</v>
      </c>
      <c r="BO14" s="21" t="e">
        <f ca="1">IF($C14&gt;BO$4,SUMIFS([1]销售表!$J:$J,[1]销售表!$I:$I,$A14,[1]销售表!$B:$B,BO$4),($L14-SUM($P14:BN14))*110%/(180-BN$4))</f>
        <v>#VALUE!</v>
      </c>
      <c r="BP14" s="21" t="e">
        <f ca="1">IF($C14&gt;BP$4,SUMIFS([1]销售表!$J:$J,[1]销售表!$I:$I,$A14,[1]销售表!$B:$B,BP$4),($L14-SUM($P14:BO14))*110%/(180-BO$4))</f>
        <v>#VALUE!</v>
      </c>
      <c r="BQ14" s="21" t="e">
        <f ca="1">IF($C14&gt;BQ$4,SUMIFS([1]销售表!$J:$J,[1]销售表!$I:$I,$A14,[1]销售表!$B:$B,BQ$4),($L14-SUM($P14:BP14))*110%/(180-BP$4))</f>
        <v>#VALUE!</v>
      </c>
      <c r="BR14" s="21" t="e">
        <f ca="1">IF($C14&gt;BR$4,SUMIFS([1]销售表!$J:$J,[1]销售表!$I:$I,$A14,[1]销售表!$B:$B,BR$4),($L14-SUM($P14:BQ14))*110%/(180-BQ$4))</f>
        <v>#VALUE!</v>
      </c>
      <c r="BS14" s="21" t="e">
        <f ca="1">IF($C14&gt;BS$4,SUMIFS([1]销售表!$J:$J,[1]销售表!$I:$I,$A14,[1]销售表!$B:$B,BS$4),($L14-SUM($P14:BR14))*110%/(180-BR$4))</f>
        <v>#VALUE!</v>
      </c>
      <c r="BT14" s="21" t="e">
        <f ca="1">IF($C14&gt;BT$4,SUMIFS([1]销售表!$J:$J,[1]销售表!$I:$I,$A14,[1]销售表!$B:$B,BT$4),($L14-SUM($P14:BS14))*110%/(180-BS$4))</f>
        <v>#VALUE!</v>
      </c>
      <c r="BU14" s="21" t="e">
        <f ca="1">IF($C14&gt;BU$4,SUMIFS([1]销售表!$J:$J,[1]销售表!$I:$I,$A14,[1]销售表!$B:$B,BU$4),($L14-SUM($P14:BT14))*110%/(180-BT$4))</f>
        <v>#VALUE!</v>
      </c>
      <c r="BV14" s="21" t="e">
        <f ca="1">IF($C14&gt;BV$4,SUMIFS([1]销售表!$J:$J,[1]销售表!$I:$I,$A14,[1]销售表!$B:$B,BV$4),($L14-SUM($P14:BU14))*110%/(180-BU$4))</f>
        <v>#VALUE!</v>
      </c>
      <c r="BW14" s="21" t="e">
        <f ca="1">IF($C14&gt;BW$4,SUMIFS([1]销售表!$J:$J,[1]销售表!$I:$I,$A14,[1]销售表!$B:$B,BW$4),($L14-SUM($P14:BV14))*110%/(180-BV$4))</f>
        <v>#VALUE!</v>
      </c>
      <c r="BX14" s="21" t="e">
        <f ca="1">IF($C14&gt;BX$4,SUMIFS([1]销售表!$J:$J,[1]销售表!$I:$I,$A14,[1]销售表!$B:$B,BX$4),($L14-SUM($P14:BW14))*110%/(180-BW$4))</f>
        <v>#VALUE!</v>
      </c>
      <c r="BY14" s="21" t="e">
        <f ca="1">IF($C14&gt;BY$4,SUMIFS([1]销售表!$J:$J,[1]销售表!$I:$I,$A14,[1]销售表!$B:$B,BY$4),($L14-SUM($P14:BX14))*110%/(180-BX$4))</f>
        <v>#VALUE!</v>
      </c>
      <c r="BZ14" s="21" t="e">
        <f ca="1">IF($C14&gt;BZ$4,SUMIFS([1]销售表!$J:$J,[1]销售表!$I:$I,$A14,[1]销售表!$B:$B,BZ$4),($L14-SUM($P14:BY14))*110%/(180-BY$4))</f>
        <v>#VALUE!</v>
      </c>
      <c r="CA14" s="21" t="e">
        <f ca="1">IF($C14&gt;CA$4,SUMIFS([1]销售表!$J:$J,[1]销售表!$I:$I,$A14,[1]销售表!$B:$B,CA$4),($L14-SUM($P14:BZ14))*110%/(180-BZ$4))</f>
        <v>#VALUE!</v>
      </c>
      <c r="CB14" s="21" t="e">
        <f ca="1">IF($C14&gt;CB$4,SUMIFS([1]销售表!$J:$J,[1]销售表!$I:$I,$A14,[1]销售表!$B:$B,CB$4),($L14-SUM($P14:CA14))*110%/(180-CA$4))</f>
        <v>#VALUE!</v>
      </c>
      <c r="CC14" s="21" t="e">
        <f ca="1">IF($C14&gt;CC$4,SUMIFS([1]销售表!$J:$J,[1]销售表!$I:$I,$A14,[1]销售表!$B:$B,CC$4),($L14-SUM($P14:CB14))*110%/(180-CB$4))</f>
        <v>#VALUE!</v>
      </c>
      <c r="CD14" s="21" t="e">
        <f ca="1">IF($C14&gt;CD$4,SUMIFS([1]销售表!$J:$J,[1]销售表!$I:$I,$A14,[1]销售表!$B:$B,CD$4),($L14-SUM($P14:CC14))*110%/(180-CC$4))</f>
        <v>#VALUE!</v>
      </c>
      <c r="CE14" s="21" t="e">
        <f ca="1">IF($C14&gt;CE$4,SUMIFS([1]销售表!$J:$J,[1]销售表!$I:$I,$A14,[1]销售表!$B:$B,CE$4),($L14-SUM($P14:CD14))*110%/(180-CD$4))</f>
        <v>#VALUE!</v>
      </c>
      <c r="CF14" s="21" t="e">
        <f ca="1">IF($C14&gt;CF$4,SUMIFS([1]销售表!$J:$J,[1]销售表!$I:$I,$A14,[1]销售表!$B:$B,CF$4),($L14-SUM($P14:CE14))*110%/(180-CE$4))</f>
        <v>#VALUE!</v>
      </c>
      <c r="CG14" s="21" t="e">
        <f ca="1">IF($C14&gt;CG$4,SUMIFS([1]销售表!$J:$J,[1]销售表!$I:$I,$A14,[1]销售表!$B:$B,CG$4),($L14-SUM($P14:CF14))*110%/(180-CF$4))</f>
        <v>#VALUE!</v>
      </c>
      <c r="CH14" s="21" t="e">
        <f ca="1">IF($C14&gt;CH$4,SUMIFS([1]销售表!$J:$J,[1]销售表!$I:$I,$A14,[1]销售表!$B:$B,CH$4),($L14-SUM($P14:CG14))*110%/(180-CG$4))</f>
        <v>#VALUE!</v>
      </c>
      <c r="CI14" s="21" t="e">
        <f ca="1">IF($C14&gt;CI$4,SUMIFS([1]销售表!$J:$J,[1]销售表!$I:$I,$A14,[1]销售表!$B:$B,CI$4),($L14-SUM($P14:CH14))*110%/(180-CH$4))</f>
        <v>#VALUE!</v>
      </c>
      <c r="CJ14" s="21" t="e">
        <f ca="1">IF($C14&gt;CJ$4,SUMIFS([1]销售表!$J:$J,[1]销售表!$I:$I,$A14,[1]销售表!$B:$B,CJ$4),($L14-SUM($P14:CI14))*110%/(180-CI$4))</f>
        <v>#VALUE!</v>
      </c>
      <c r="CK14" s="21" t="e">
        <f ca="1">IF($C14&gt;CK$4,SUMIFS([1]销售表!$J:$J,[1]销售表!$I:$I,$A14,[1]销售表!$B:$B,CK$4),($L14-SUM($P14:CJ14))*110%/(180-CJ$4))</f>
        <v>#VALUE!</v>
      </c>
      <c r="CL14" s="21" t="e">
        <f ca="1">IF($C14&gt;CL$4,SUMIFS([1]销售表!$J:$J,[1]销售表!$I:$I,$A14,[1]销售表!$B:$B,CL$4),($L14-SUM($P14:CK14))*110%/(180-CK$4))</f>
        <v>#VALUE!</v>
      </c>
      <c r="CM14" s="21" t="e">
        <f ca="1">IF($C14&gt;CM$4,SUMIFS([1]销售表!$J:$J,[1]销售表!$I:$I,$A14,[1]销售表!$B:$B,CM$4),($L14-SUM($P14:CL14))*110%/(180-CL$4))</f>
        <v>#VALUE!</v>
      </c>
      <c r="CN14" s="21" t="e">
        <f ca="1">IF($C14&gt;CN$4,SUMIFS([1]销售表!$J:$J,[1]销售表!$I:$I,$A14,[1]销售表!$B:$B,CN$4),($L14-SUM($P14:CM14))*110%/(180-CM$4))</f>
        <v>#VALUE!</v>
      </c>
      <c r="CO14" s="21" t="e">
        <f ca="1">IF($C14&gt;CO$4,SUMIFS([1]销售表!$J:$J,[1]销售表!$I:$I,$A14,[1]销售表!$B:$B,CO$4),($L14-SUM($P14:CN14))*110%/(180-CN$4))</f>
        <v>#VALUE!</v>
      </c>
      <c r="CP14" s="21" t="e">
        <f ca="1">IF($C14&gt;CP$4,SUMIFS([1]销售表!$J:$J,[1]销售表!$I:$I,$A14,[1]销售表!$B:$B,CP$4),($L14-SUM($P14:CO14))*110%/(180-CO$4))</f>
        <v>#VALUE!</v>
      </c>
      <c r="CQ14" s="21" t="e">
        <f ca="1">IF($C14&gt;CQ$4,SUMIFS([1]销售表!$J:$J,[1]销售表!$I:$I,$A14,[1]销售表!$B:$B,CQ$4),($L14-SUM($P14:CP14))*110%/(180-CP$4))</f>
        <v>#VALUE!</v>
      </c>
      <c r="CR14" s="21" t="e">
        <f ca="1">IF($C14&gt;CR$4,SUMIFS([1]销售表!$J:$J,[1]销售表!$I:$I,$A14,[1]销售表!$B:$B,CR$4),($L14-SUM($P14:CQ14))*110%/(180-CQ$4))</f>
        <v>#VALUE!</v>
      </c>
      <c r="CS14" s="21" t="e">
        <f ca="1">IF($C14&gt;CS$4,SUMIFS([1]销售表!$J:$J,[1]销售表!$I:$I,$A14,[1]销售表!$B:$B,CS$4),($L14-SUM($P14:CR14))*110%/(180-CR$4))</f>
        <v>#VALUE!</v>
      </c>
      <c r="CT14" s="21" t="e">
        <f ca="1">IF($C14&gt;CT$4,SUMIFS([1]销售表!$J:$J,[1]销售表!$I:$I,$A14,[1]销售表!$B:$B,CT$4),($L14-SUM($P14:CS14))*110%/(180-CS$4))</f>
        <v>#VALUE!</v>
      </c>
      <c r="CU14" s="21" t="e">
        <f ca="1">IF($C14&gt;CU$4,SUMIFS([1]销售表!$J:$J,[1]销售表!$I:$I,$A14,[1]销售表!$B:$B,CU$4),($L14-SUM($P14:CT14))*110%/(180-CT$4))</f>
        <v>#VALUE!</v>
      </c>
      <c r="CV14" s="21" t="e">
        <f ca="1">IF($C14&gt;CV$4,SUMIFS([1]销售表!$J:$J,[1]销售表!$I:$I,$A14,[1]销售表!$B:$B,CV$4),($L14-SUM($P14:CU14))*110%/(180-CU$4))</f>
        <v>#VALUE!</v>
      </c>
      <c r="CW14" s="21" t="e">
        <f ca="1">IF($C14&gt;CW$4,SUMIFS([1]销售表!$J:$J,[1]销售表!$I:$I,$A14,[1]销售表!$B:$B,CW$4),($L14-SUM($P14:CV14))*110%/(180-CV$4))</f>
        <v>#VALUE!</v>
      </c>
      <c r="CX14" s="21" t="e">
        <f ca="1">IF($C14&gt;CX$4,SUMIFS([1]销售表!$J:$J,[1]销售表!$I:$I,$A14,[1]销售表!$B:$B,CX$4),($L14-SUM($P14:CW14))*110%/(180-CW$4))</f>
        <v>#VALUE!</v>
      </c>
      <c r="CY14" s="21" t="e">
        <f ca="1">IF($C14&gt;CY$4,SUMIFS([1]销售表!$J:$J,[1]销售表!$I:$I,$A14,[1]销售表!$B:$B,CY$4),($L14-SUM($P14:CX14))*110%/(180-CX$4))</f>
        <v>#VALUE!</v>
      </c>
      <c r="CZ14" s="21" t="e">
        <f ca="1">IF($C14&gt;CZ$4,SUMIFS([1]销售表!$J:$J,[1]销售表!$I:$I,$A14,[1]销售表!$B:$B,CZ$4),($L14-SUM($P14:CY14))*110%/(180-CY$4))</f>
        <v>#VALUE!</v>
      </c>
      <c r="DA14" s="21" t="e">
        <f ca="1">IF($C14&gt;DA$4,SUMIFS([1]销售表!$J:$J,[1]销售表!$I:$I,$A14,[1]销售表!$B:$B,DA$4),($L14-SUM($P14:CZ14))*110%/(180-CZ$4))</f>
        <v>#VALUE!</v>
      </c>
      <c r="DB14" s="21" t="e">
        <f ca="1">IF($C14&gt;DB$4,SUMIFS([1]销售表!$J:$J,[1]销售表!$I:$I,$A14,[1]销售表!$B:$B,DB$4),($L14-SUM($P14:DA14))*110%/(180-DA$4))</f>
        <v>#VALUE!</v>
      </c>
      <c r="DC14" s="21" t="e">
        <f ca="1">IF($C14&gt;DC$4,SUMIFS([1]销售表!$J:$J,[1]销售表!$I:$I,$A14,[1]销售表!$B:$B,DC$4),($L14-SUM($P14:DB14))*110%/(180-DB$4))</f>
        <v>#VALUE!</v>
      </c>
      <c r="DD14" s="21" t="e">
        <f ca="1">IF($C14&gt;DD$4,SUMIFS([1]销售表!$J:$J,[1]销售表!$I:$I,$A14,[1]销售表!$B:$B,DD$4),($L14-SUM($P14:DC14))*110%/(180-DC$4))</f>
        <v>#VALUE!</v>
      </c>
      <c r="DE14" s="21" t="e">
        <f ca="1">IF($C14&gt;DE$4,SUMIFS([1]销售表!$J:$J,[1]销售表!$I:$I,$A14,[1]销售表!$B:$B,DE$4),($L14-SUM($P14:DD14))*110%/(180-DD$4))</f>
        <v>#VALUE!</v>
      </c>
      <c r="DF14" s="21" t="e">
        <f ca="1">IF($C14&gt;DF$4,SUMIFS([1]销售表!$J:$J,[1]销售表!$I:$I,$A14,[1]销售表!$B:$B,DF$4),($L14-SUM($P14:DE14))*110%/(180-DE$4))</f>
        <v>#VALUE!</v>
      </c>
      <c r="DG14" s="21" t="e">
        <f ca="1">IF($C14&gt;DG$4,SUMIFS([1]销售表!$J:$J,[1]销售表!$I:$I,$A14,[1]销售表!$B:$B,DG$4),($L14-SUM($P14:DF14))*110%/(180-DF$4))</f>
        <v>#VALUE!</v>
      </c>
      <c r="DH14" s="21" t="e">
        <f ca="1">IF($C14&gt;DH$4,SUMIFS([1]销售表!$J:$J,[1]销售表!$I:$I,$A14,[1]销售表!$B:$B,DH$4),($L14-SUM($P14:DG14))*110%/(180-DG$4))</f>
        <v>#VALUE!</v>
      </c>
      <c r="DI14" s="21" t="e">
        <f ca="1">IF($C14&gt;DI$4,SUMIFS([1]销售表!$J:$J,[1]销售表!$I:$I,$A14,[1]销售表!$B:$B,DI$4),($L14-SUM($P14:DH14))*110%/(180-DH$4))</f>
        <v>#VALUE!</v>
      </c>
      <c r="DJ14" s="21" t="e">
        <f ca="1">IF($C14&gt;DJ$4,SUMIFS([1]销售表!$J:$J,[1]销售表!$I:$I,$A14,[1]销售表!$B:$B,DJ$4),($L14-SUM($P14:DI14))*110%/(180-DI$4))</f>
        <v>#VALUE!</v>
      </c>
      <c r="DK14" s="21" t="e">
        <f ca="1">IF($C14&gt;DK$4,SUMIFS([1]销售表!$J:$J,[1]销售表!$I:$I,$A14,[1]销售表!$B:$B,DK$4),($L14-SUM($P14:DJ14))*110%/(180-DJ$4))</f>
        <v>#VALUE!</v>
      </c>
      <c r="DL14" s="21" t="e">
        <f ca="1">IF($C14&gt;DL$4,SUMIFS([1]销售表!$J:$J,[1]销售表!$I:$I,$A14,[1]销售表!$B:$B,DL$4),($L14-SUM($P14:DK14))*110%/(180-DK$4))</f>
        <v>#VALUE!</v>
      </c>
      <c r="DM14" s="21" t="e">
        <f ca="1">IF($C14&gt;DM$4,SUMIFS([1]销售表!$J:$J,[1]销售表!$I:$I,$A14,[1]销售表!$B:$B,DM$4),($L14-SUM($P14:DL14))*110%/(180-DL$4))</f>
        <v>#VALUE!</v>
      </c>
      <c r="DN14" s="21" t="e">
        <f ca="1">IF($C14&gt;DN$4,SUMIFS([1]销售表!$J:$J,[1]销售表!$I:$I,$A14,[1]销售表!$B:$B,DN$4),($L14-SUM($P14:DM14))*110%/(180-DM$4))</f>
        <v>#VALUE!</v>
      </c>
      <c r="DO14" s="21" t="e">
        <f ca="1">IF($C14&gt;DO$4,SUMIFS([1]销售表!$J:$J,[1]销售表!$I:$I,$A14,[1]销售表!$B:$B,DO$4),($L14-SUM($P14:DN14))*110%/(180-DN$4))</f>
        <v>#VALUE!</v>
      </c>
      <c r="DP14" s="21" t="e">
        <f ca="1">IF($C14&gt;DP$4,SUMIFS([1]销售表!$J:$J,[1]销售表!$I:$I,$A14,[1]销售表!$B:$B,DP$4),($L14-SUM($P14:DO14))*110%/(180-DO$4))</f>
        <v>#VALUE!</v>
      </c>
      <c r="DQ14" s="21" t="e">
        <f ca="1">IF($C14&gt;DQ$4,SUMIFS([1]销售表!$J:$J,[1]销售表!$I:$I,$A14,[1]销售表!$B:$B,DQ$4),($L14-SUM($P14:DP14))*110%/(180-DP$4))</f>
        <v>#VALUE!</v>
      </c>
      <c r="DR14" s="21" t="e">
        <f ca="1">IF($C14&gt;DR$4,SUMIFS([1]销售表!$J:$J,[1]销售表!$I:$I,$A14,[1]销售表!$B:$B,DR$4),($L14-SUM($P14:DQ14))*110%/(180-DQ$4))</f>
        <v>#VALUE!</v>
      </c>
      <c r="DS14" s="21" t="e">
        <f ca="1">IF($C14&gt;DS$4,SUMIFS([1]销售表!$J:$J,[1]销售表!$I:$I,$A14,[1]销售表!$B:$B,DS$4),($L14-SUM($P14:DR14))*110%/(180-DR$4))</f>
        <v>#VALUE!</v>
      </c>
      <c r="DT14" s="21" t="e">
        <f ca="1">IF($C14&gt;DT$4,SUMIFS([1]销售表!$J:$J,[1]销售表!$I:$I,$A14,[1]销售表!$B:$B,DT$4),($L14-SUM($P14:DS14))*110%/(180-DS$4))</f>
        <v>#VALUE!</v>
      </c>
      <c r="DU14" s="21" t="e">
        <f ca="1">IF($C14&gt;DU$4,SUMIFS([1]销售表!$J:$J,[1]销售表!$I:$I,$A14,[1]销售表!$B:$B,DU$4),($L14-SUM($P14:DT14))*110%/(180-DT$4))</f>
        <v>#VALUE!</v>
      </c>
      <c r="DV14" s="21" t="e">
        <f ca="1">IF($C14&gt;DV$4,SUMIFS([1]销售表!$J:$J,[1]销售表!$I:$I,$A14,[1]销售表!$B:$B,DV$4),($L14-SUM($P14:DU14))*110%/(180-DU$4))</f>
        <v>#VALUE!</v>
      </c>
      <c r="DW14" s="21" t="e">
        <f ca="1">IF($C14&gt;DW$4,SUMIFS([1]销售表!$J:$J,[1]销售表!$I:$I,$A14,[1]销售表!$B:$B,DW$4),($L14-SUM($P14:DV14))*110%/(180-DV$4))</f>
        <v>#VALUE!</v>
      </c>
      <c r="DX14" s="21" t="e">
        <f ca="1">IF($C14&gt;DX$4,SUMIFS([1]销售表!$J:$J,[1]销售表!$I:$I,$A14,[1]销售表!$B:$B,DX$4),($L14-SUM($P14:DW14))*110%/(180-DW$4))</f>
        <v>#VALUE!</v>
      </c>
      <c r="DY14" s="21" t="e">
        <f ca="1">IF($C14&gt;DY$4,SUMIFS([1]销售表!$J:$J,[1]销售表!$I:$I,$A14,[1]销售表!$B:$B,DY$4),($L14-SUM($P14:DX14))*110%/(180-DX$4))</f>
        <v>#VALUE!</v>
      </c>
      <c r="DZ14" s="21" t="e">
        <f ca="1">IF($C14&gt;DZ$4,SUMIFS([1]销售表!$J:$J,[1]销售表!$I:$I,$A14,[1]销售表!$B:$B,DZ$4),($L14-SUM($P14:DY14))*110%/(180-DY$4))</f>
        <v>#VALUE!</v>
      </c>
      <c r="EA14" s="21" t="e">
        <f ca="1">IF($C14&gt;EA$4,SUMIFS([1]销售表!$J:$J,[1]销售表!$I:$I,$A14,[1]销售表!$B:$B,EA$4),($L14-SUM($P14:DZ14))*110%/(180-DZ$4))</f>
        <v>#VALUE!</v>
      </c>
      <c r="EB14" s="21" t="e">
        <f ca="1">IF($C14&gt;EB$4,SUMIFS([1]销售表!$J:$J,[1]销售表!$I:$I,$A14,[1]销售表!$B:$B,EB$4),($L14-SUM($P14:EA14))*110%/(180-EA$4))</f>
        <v>#VALUE!</v>
      </c>
      <c r="EC14" s="21" t="e">
        <f ca="1">IF($C14&gt;EC$4,SUMIFS([1]销售表!$J:$J,[1]销售表!$I:$I,$A14,[1]销售表!$B:$B,EC$4),($L14-SUM($P14:EB14))*110%/(180-EB$4))</f>
        <v>#VALUE!</v>
      </c>
      <c r="ED14" s="21" t="e">
        <f ca="1">IF($C14&gt;ED$4,SUMIFS([1]销售表!$J:$J,[1]销售表!$I:$I,$A14,[1]销售表!$B:$B,ED$4),($L14-SUM($P14:EC14))*110%/(180-EC$4))</f>
        <v>#VALUE!</v>
      </c>
      <c r="EE14" s="21" t="e">
        <f ca="1">IF($C14&gt;EE$4,SUMIFS([1]销售表!$J:$J,[1]销售表!$I:$I,$A14,[1]销售表!$B:$B,EE$4),($L14-SUM($P14:ED14))*110%/(180-ED$4))</f>
        <v>#VALUE!</v>
      </c>
      <c r="EF14" s="21" t="e">
        <f ca="1">IF($C14&gt;EF$4,SUMIFS([1]销售表!$J:$J,[1]销售表!$I:$I,$A14,[1]销售表!$B:$B,EF$4),($L14-SUM($P14:EE14))*100%/(180-EE$4))</f>
        <v>#VALUE!</v>
      </c>
      <c r="EG14" s="21" t="e">
        <f ca="1">IF($C14&gt;EG$4,SUMIFS([1]销售表!$J:$J,[1]销售表!$I:$I,$A14,[1]销售表!$B:$B,EG$4),($L14-SUM($P14:EF14))*100%/(180-EF$4))</f>
        <v>#VALUE!</v>
      </c>
      <c r="EH14" s="21" t="e">
        <f ca="1">IF($C14&gt;EH$4,SUMIFS([1]销售表!$J:$J,[1]销售表!$I:$I,$A14,[1]销售表!$B:$B,EH$4),($L14-SUM($P14:EG14))*100%/(180-EG$4))</f>
        <v>#VALUE!</v>
      </c>
      <c r="EI14" s="21" t="e">
        <f ca="1">IF($C14&gt;EI$4,SUMIFS([1]销售表!$J:$J,[1]销售表!$I:$I,$A14,[1]销售表!$B:$B,EI$4),($L14-SUM($P14:EH14))*100%/(180-EH$4))</f>
        <v>#VALUE!</v>
      </c>
      <c r="EJ14" s="21" t="e">
        <f ca="1">IF($C14&gt;EJ$4,SUMIFS([1]销售表!$J:$J,[1]销售表!$I:$I,$A14,[1]销售表!$B:$B,EJ$4),($L14-SUM($P14:EI14))*100%/(180-EI$4))</f>
        <v>#VALUE!</v>
      </c>
      <c r="EK14" s="21" t="e">
        <f ca="1">IF($C14&gt;EK$4,SUMIFS([1]销售表!$J:$J,[1]销售表!$I:$I,$A14,[1]销售表!$B:$B,EK$4),($L14-SUM($P14:EJ14))*100%/(180-EJ$4))</f>
        <v>#VALUE!</v>
      </c>
      <c r="EL14" s="21" t="e">
        <f ca="1">IF($C14&gt;EL$4,SUMIFS([1]销售表!$J:$J,[1]销售表!$I:$I,$A14,[1]销售表!$B:$B,EL$4),($L14-SUM($P14:EK14))*100%/(180-EK$4))</f>
        <v>#VALUE!</v>
      </c>
      <c r="EM14" s="21" t="e">
        <f ca="1">IF($C14&gt;EM$4,SUMIFS([1]销售表!$J:$J,[1]销售表!$I:$I,$A14,[1]销售表!$B:$B,EM$4),($L14-SUM($P14:EL14))*100%/(180-EL$4))</f>
        <v>#VALUE!</v>
      </c>
      <c r="EN14" s="21" t="e">
        <f ca="1">IF($C14&gt;EN$4,SUMIFS([1]销售表!$J:$J,[1]销售表!$I:$I,$A14,[1]销售表!$B:$B,EN$4),($L14-SUM($P14:EM14))*100%/(180-EM$4))</f>
        <v>#VALUE!</v>
      </c>
      <c r="EO14" s="21" t="e">
        <f ca="1">IF($C14&gt;EO$4,SUMIFS([1]销售表!$J:$J,[1]销售表!$I:$I,$A14,[1]销售表!$B:$B,EO$4),($L14-SUM($P14:EN14))*100%/(180-EN$4))</f>
        <v>#VALUE!</v>
      </c>
      <c r="EP14" s="21" t="e">
        <f ca="1">IF($C14&gt;EP$4,SUMIFS([1]销售表!$J:$J,[1]销售表!$I:$I,$A14,[1]销售表!$B:$B,EP$4),($L14-SUM($P14:EO14))*100%/(180-EO$4))</f>
        <v>#VALUE!</v>
      </c>
      <c r="EQ14" s="21" t="e">
        <f ca="1">IF($C14&gt;EQ$4,SUMIFS([1]销售表!$J:$J,[1]销售表!$I:$I,$A14,[1]销售表!$B:$B,EQ$4),($L14-SUM($P14:EP14))*100%/(180-EP$4))</f>
        <v>#VALUE!</v>
      </c>
      <c r="ER14" s="21" t="e">
        <f ca="1">IF($C14&gt;ER$4,SUMIFS([1]销售表!$J:$J,[1]销售表!$I:$I,$A14,[1]销售表!$B:$B,ER$4),($L14-SUM($P14:EQ14))*100%/(180-EQ$4))</f>
        <v>#VALUE!</v>
      </c>
      <c r="ES14" s="21" t="e">
        <f ca="1">IF($C14&gt;ES$4,SUMIFS([1]销售表!$J:$J,[1]销售表!$I:$I,$A14,[1]销售表!$B:$B,ES$4),($L14-SUM($P14:ER14))*100%/(180-ER$4))</f>
        <v>#VALUE!</v>
      </c>
      <c r="ET14" s="21" t="e">
        <f ca="1">IF($C14&gt;ET$4,SUMIFS([1]销售表!$J:$J,[1]销售表!$I:$I,$A14,[1]销售表!$B:$B,ET$4),($L14-SUM($P14:ES14))*100%/(180-ES$4))</f>
        <v>#VALUE!</v>
      </c>
      <c r="EU14" s="21" t="e">
        <f ca="1">IF($C14&gt;EU$4,SUMIFS([1]销售表!$J:$J,[1]销售表!$I:$I,$A14,[1]销售表!$B:$B,EU$4),($L14-SUM($P14:ET14))*100%/(180-ET$4))</f>
        <v>#VALUE!</v>
      </c>
      <c r="EV14" s="21" t="e">
        <f ca="1">IF($C14&gt;EV$4,SUMIFS([1]销售表!$J:$J,[1]销售表!$I:$I,$A14,[1]销售表!$B:$B,EV$4),($L14-SUM($P14:EU14))*100%/(180-EU$4))</f>
        <v>#VALUE!</v>
      </c>
      <c r="EW14" s="21" t="e">
        <f ca="1">IF($C14&gt;EW$4,SUMIFS([1]销售表!$J:$J,[1]销售表!$I:$I,$A14,[1]销售表!$B:$B,EW$4),($L14-SUM($P14:EV14))*100%/(180-EV$4))</f>
        <v>#VALUE!</v>
      </c>
      <c r="EX14" s="21" t="e">
        <f ca="1">IF($C14&gt;EX$4,SUMIFS([1]销售表!$J:$J,[1]销售表!$I:$I,$A14,[1]销售表!$B:$B,EX$4),($L14-SUM($P14:EW14))*100%/(180-EW$4))</f>
        <v>#VALUE!</v>
      </c>
      <c r="EY14" s="21" t="e">
        <f ca="1">IF($C14&gt;EY$4,SUMIFS([1]销售表!$J:$J,[1]销售表!$I:$I,$A14,[1]销售表!$B:$B,EY$4),($L14-SUM($P14:EX14))*100%/(180-EX$4))</f>
        <v>#VALUE!</v>
      </c>
      <c r="EZ14" s="21" t="e">
        <f ca="1">IF($C14&gt;EZ$4,SUMIFS([1]销售表!$J:$J,[1]销售表!$I:$I,$A14,[1]销售表!$B:$B,EZ$4),($L14-SUM($P14:EY14))*100%/(180-EY$4))</f>
        <v>#VALUE!</v>
      </c>
      <c r="FA14" s="21" t="e">
        <f ca="1">IF($C14&gt;FA$4,SUMIFS([1]销售表!$J:$J,[1]销售表!$I:$I,$A14,[1]销售表!$B:$B,FA$4),($L14-SUM($P14:EZ14))*100%/(180-EZ$4))</f>
        <v>#VALUE!</v>
      </c>
      <c r="FB14" s="21" t="e">
        <f ca="1">IF($C14&gt;FB$4,SUMIFS([1]销售表!$J:$J,[1]销售表!$I:$I,$A14,[1]销售表!$B:$B,FB$4),($L14-SUM($P14:FA14))*100%/(180-FA$4))</f>
        <v>#VALUE!</v>
      </c>
      <c r="FC14" s="21" t="e">
        <f ca="1">IF($C14&gt;FC$4,SUMIFS([1]销售表!$J:$J,[1]销售表!$I:$I,$A14,[1]销售表!$B:$B,FC$4),($L14-SUM($P14:FB14))*100%/(180-FB$4))</f>
        <v>#VALUE!</v>
      </c>
      <c r="FD14" s="21" t="e">
        <f ca="1">IF($C14&gt;FD$4,SUMIFS([1]销售表!$J:$J,[1]销售表!$I:$I,$A14,[1]销售表!$B:$B,FD$4),($L14-SUM($P14:FC14))*100%/(180-FC$4))</f>
        <v>#VALUE!</v>
      </c>
      <c r="FE14" s="21" t="e">
        <f ca="1">IF($C14&gt;FE$4,SUMIFS([1]销售表!$J:$J,[1]销售表!$I:$I,$A14,[1]销售表!$B:$B,FE$4),($L14-SUM($P14:FD14))*100%/(180-FD$4))</f>
        <v>#VALUE!</v>
      </c>
      <c r="FF14" s="21" t="e">
        <f ca="1">IF($C14&gt;FF$4,SUMIFS([1]销售表!$J:$J,[1]销售表!$I:$I,$A14,[1]销售表!$B:$B,FF$4),($L14-SUM($P14:FE14))*100%/(180-FE$4))</f>
        <v>#VALUE!</v>
      </c>
      <c r="FG14" s="21" t="e">
        <f ca="1">IF($C14&gt;FG$4,SUMIFS([1]销售表!$J:$J,[1]销售表!$I:$I,$A14,[1]销售表!$B:$B,FG$4),($L14-SUM($P14:FF14))*100%/(180-FF$4))</f>
        <v>#VALUE!</v>
      </c>
      <c r="FH14" s="21" t="e">
        <f ca="1">IF($C14&gt;FH$4,SUMIFS([1]销售表!$J:$J,[1]销售表!$I:$I,$A14,[1]销售表!$B:$B,FH$4),($L14-SUM($P14:FG14))*100%/(180-FG$4))</f>
        <v>#VALUE!</v>
      </c>
      <c r="FI14" s="21" t="e">
        <f ca="1">IF($C14&gt;FI$4,SUMIFS([1]销售表!$J:$J,[1]销售表!$I:$I,$A14,[1]销售表!$B:$B,FI$4),($L14-SUM($P14:FH14))*100%/(180-FH$4))</f>
        <v>#VALUE!</v>
      </c>
      <c r="FJ14" s="21" t="e">
        <f ca="1">IF($C14&gt;FJ$4,SUMIFS([1]销售表!$J:$J,[1]销售表!$I:$I,$A14,[1]销售表!$B:$B,FJ$4),($L14-SUM($P14:FI14))*100%/(180-FI$4))</f>
        <v>#VALUE!</v>
      </c>
      <c r="FK14" s="21" t="e">
        <f ca="1">IF($C14&gt;FK$4,SUMIFS([1]销售表!$J:$J,[1]销售表!$I:$I,$A14,[1]销售表!$B:$B,FK$4),($L14-SUM($P14:FJ14))*100%/(180-FJ$4))</f>
        <v>#VALUE!</v>
      </c>
      <c r="FL14" s="21" t="e">
        <f ca="1">IF($C14&gt;FL$4,SUMIFS([1]销售表!$J:$J,[1]销售表!$I:$I,$A14,[1]销售表!$B:$B,FL$4),($L14-SUM($P14:FK14))*100%/(180-FK$4))</f>
        <v>#VALUE!</v>
      </c>
      <c r="FM14" s="21" t="e">
        <f ca="1">IF($C14&gt;FM$4,SUMIFS([1]销售表!$J:$J,[1]销售表!$I:$I,$A14,[1]销售表!$B:$B,FM$4),($L14-SUM($P14:FL14))*100%/(180-FL$4))</f>
        <v>#VALUE!</v>
      </c>
      <c r="FN14" s="21" t="e">
        <f ca="1">IF($C14&gt;FN$4,SUMIFS([1]销售表!$J:$J,[1]销售表!$I:$I,$A14,[1]销售表!$B:$B,FN$4),($L14-SUM($P14:FM14))*100%/(180-FM$4))</f>
        <v>#VALUE!</v>
      </c>
      <c r="FO14" s="21" t="e">
        <f ca="1">IF($C14&gt;FO$4,SUMIFS([1]销售表!$J:$J,[1]销售表!$I:$I,$A14,[1]销售表!$B:$B,FO$4),($L14-SUM($P14:FN14))*100%/(180-FN$4))</f>
        <v>#VALUE!</v>
      </c>
      <c r="FP14" s="21" t="e">
        <f ca="1">IF($C14&gt;FP$4,SUMIFS([1]销售表!$J:$J,[1]销售表!$I:$I,$A14,[1]销售表!$B:$B,FP$4),($L14-SUM($P14:FO14))*100%/(180-FO$4))</f>
        <v>#VALUE!</v>
      </c>
      <c r="FQ14" s="21" t="e">
        <f ca="1">IF($C14&gt;FQ$4,SUMIFS([1]销售表!$J:$J,[1]销售表!$I:$I,$A14,[1]销售表!$B:$B,FQ$4),($L14-SUM($P14:FP14))*100%/(180-FP$4))</f>
        <v>#VALUE!</v>
      </c>
      <c r="FR14" s="21" t="e">
        <f ca="1">IF($C14&gt;FR$4,SUMIFS([1]销售表!$J:$J,[1]销售表!$I:$I,$A14,[1]销售表!$B:$B,FR$4),($L14-SUM($P14:FQ14))*100%/(180-FQ$4))</f>
        <v>#VALUE!</v>
      </c>
      <c r="FS14" s="21" t="e">
        <f ca="1">IF($C14&gt;FS$4,SUMIFS([1]销售表!$J:$J,[1]销售表!$I:$I,$A14,[1]销售表!$B:$B,FS$4),($L14-SUM($P14:FR14))*100%/(180-FR$4))</f>
        <v>#VALUE!</v>
      </c>
      <c r="FT14" s="21" t="e">
        <f ca="1">IF($C14&gt;FT$4,SUMIFS([1]销售表!$J:$J,[1]销售表!$I:$I,$A14,[1]销售表!$B:$B,FT$4),($L14-SUM($P14:FS14))*100%/(180-FS$4))</f>
        <v>#VALUE!</v>
      </c>
      <c r="FU14" s="21" t="e">
        <f ca="1">IF($C14&gt;FU$4,SUMIFS([1]销售表!$J:$J,[1]销售表!$I:$I,$A14,[1]销售表!$B:$B,FU$4),($L14-SUM($P14:FT14))*100%/(180-FT$4))</f>
        <v>#VALUE!</v>
      </c>
      <c r="FV14" s="21" t="e">
        <f ca="1">IF($C14&gt;FV$4,SUMIFS([1]销售表!$J:$J,[1]销售表!$I:$I,$A14,[1]销售表!$B:$B,FV$4),($L14-SUM($P14:FU14))*100%/(180-FU$4))</f>
        <v>#VALUE!</v>
      </c>
      <c r="FW14" s="21" t="e">
        <f ca="1">IF($C14&gt;FW$4,SUMIFS([1]销售表!$J:$J,[1]销售表!$I:$I,$A14,[1]销售表!$B:$B,FW$4),($L14-SUM($P14:FV14))*100%/(180-FV$4))</f>
        <v>#VALUE!</v>
      </c>
      <c r="FX14" s="21" t="e">
        <f ca="1">IF($C14&gt;FX$4,SUMIFS([1]销售表!$J:$J,[1]销售表!$I:$I,$A14,[1]销售表!$B:$B,FX$4),($L14-SUM($P14:FW14))*100%/(180-FW$4))</f>
        <v>#VALUE!</v>
      </c>
      <c r="FY14" s="21" t="e">
        <f ca="1">IF($C14&gt;FY$4,SUMIFS([1]销售表!$J:$J,[1]销售表!$I:$I,$A14,[1]销售表!$B:$B,FY$4),($L14-SUM($P14:FX14))*100%/(180-FX$4))</f>
        <v>#VALUE!</v>
      </c>
      <c r="FZ14" s="21" t="e">
        <f ca="1">IF($C14&gt;FZ$4,SUMIFS([1]销售表!$J:$J,[1]销售表!$I:$I,$A14,[1]销售表!$B:$B,FZ$4),($L14-SUM($P14:FY14))*100%/(180-FY$4))</f>
        <v>#VALUE!</v>
      </c>
      <c r="GA14" s="21" t="e">
        <f ca="1">IF($C14&gt;GA$4,SUMIFS([1]销售表!$J:$J,[1]销售表!$I:$I,$A14,[1]销售表!$B:$B,GA$4),($L14-SUM($P14:FZ14))*100%/(180-FZ$4))</f>
        <v>#VALUE!</v>
      </c>
      <c r="GB14" s="21" t="e">
        <f ca="1">IF($C14&gt;GB$4,SUMIFS([1]销售表!$J:$J,[1]销售表!$I:$I,$A14,[1]销售表!$B:$B,GB$4),($L14-SUM($P14:GA14))*100%/(180-GA$4))</f>
        <v>#VALUE!</v>
      </c>
      <c r="GC14" s="21" t="e">
        <f ca="1">IF($C14&gt;GC$4,SUMIFS([1]销售表!$J:$J,[1]销售表!$I:$I,$A14,[1]销售表!$B:$B,GC$4),($L14-SUM($P14:GB14))*100%/(180-GB$4))</f>
        <v>#VALUE!</v>
      </c>
      <c r="GD14" s="21" t="e">
        <f ca="1">IF($C14&gt;GD$4,SUMIFS([1]销售表!$J:$J,[1]销售表!$I:$I,$A14,[1]销售表!$B:$B,GD$4),($L14-SUM($P14:GC14))*100%/(180-GC$4))</f>
        <v>#VALUE!</v>
      </c>
      <c r="GE14" s="21" t="e">
        <f ca="1">IF($C14&gt;GE$4,SUMIFS([1]销售表!$J:$J,[1]销售表!$I:$I,$A14,[1]销售表!$B:$B,GE$4),($L14-SUM($P14:GD14))*100%/(180-GD$4))</f>
        <v>#VALUE!</v>
      </c>
      <c r="GF14" s="21" t="e">
        <f ca="1">IF($C14&gt;GF$4,SUMIFS([1]销售表!$J:$J,[1]销售表!$I:$I,$A14,[1]销售表!$B:$B,GF$4),($L14-SUM($P14:GE14))*100%/(180-GE$4))</f>
        <v>#VALUE!</v>
      </c>
      <c r="GG14" s="21" t="e">
        <f ca="1">IF($C14&gt;GG$4,SUMIFS([1]销售表!$J:$J,[1]销售表!$I:$I,$A14,[1]销售表!$B:$B,GG$4),($L14-SUM($P14:GF14))*100%/(180-GF$4))</f>
        <v>#VALUE!</v>
      </c>
      <c r="GH14" s="21" t="e">
        <f ca="1">IF($C14&gt;GH$4,SUMIFS([1]销售表!$J:$J,[1]销售表!$I:$I,$A14,[1]销售表!$B:$B,GH$4),($L14-SUM($P14:GG14))*100%/(180-GG$4))</f>
        <v>#VALUE!</v>
      </c>
      <c r="GI14" s="21" t="e">
        <f ca="1">IF($C14&gt;GI$4,SUMIFS([1]销售表!$J:$J,[1]销售表!$I:$I,$A14,[1]销售表!$B:$B,GI$4),($L14-SUM($P14:GH14))*100%/(180-GH$4))</f>
        <v>#VALUE!</v>
      </c>
      <c r="GJ14" s="21" t="e">
        <f ca="1">IF($C14&gt;GJ$4,SUMIFS([1]销售表!$J:$J,[1]销售表!$I:$I,$A14,[1]销售表!$B:$B,GJ$4),($L14-SUM($P14:GI14))*100%/(180-GI$4))</f>
        <v>#VALUE!</v>
      </c>
      <c r="GK14" s="21" t="e">
        <f ca="1">IF($C14&gt;GK$4,SUMIFS([1]销售表!$J:$J,[1]销售表!$I:$I,$A14,[1]销售表!$B:$B,GK$4),($L14-SUM($P14:GJ14))*100%/(180-GJ$4))</f>
        <v>#VALUE!</v>
      </c>
      <c r="GL14" s="21" t="e">
        <f ca="1">IF($C14&gt;GL$4,SUMIFS([1]销售表!$J:$J,[1]销售表!$I:$I,$A14,[1]销售表!$B:$B,GL$4),($L14-SUM($P14:GK14))*100%/(180-GK$4))</f>
        <v>#VALUE!</v>
      </c>
      <c r="GM14" s="21" t="e">
        <f ca="1">IF($C14&gt;GM$4,SUMIFS([1]销售表!$J:$J,[1]销售表!$I:$I,$A14,[1]销售表!$B:$B,GM$4),($L14-SUM($P14:GL14))*100%/(180-GL$4))</f>
        <v>#VALUE!</v>
      </c>
    </row>
    <row r="15" spans="1:195" x14ac:dyDescent="0.25">
      <c r="A15" s="8"/>
      <c r="B15" s="19"/>
      <c r="C15" s="8">
        <f ca="1">TODAY()-B15+1</f>
        <v>46199</v>
      </c>
      <c r="D15" s="8" t="str" cm="1">
        <f t="array" ref="D15" ca="1">_xlfn.IFS(AND(TODAY()-B15&lt;=30,TODAY()-B15&gt;=0),"新品期",AND(TODAY()-B15&gt;=31,TODAY()-B15&lt;=120),"热销期",AND(TODAY()-B15&gt;=121,TODAY()-B15&lt;=180),"清货期",TODAY()-B15&gt;180,"滞销")</f>
        <v>滞销</v>
      </c>
      <c r="E15" s="8">
        <f t="shared" si="16"/>
        <v>1000</v>
      </c>
      <c r="F15" s="8"/>
      <c r="G15" s="8">
        <f>SUMIF([1]销售表!I:I,A15,[1]销售表!J:J)</f>
        <v>0</v>
      </c>
      <c r="H15" s="9">
        <f t="shared" si="17"/>
        <v>0</v>
      </c>
      <c r="I15" s="8"/>
      <c r="J15" s="8">
        <f>SUMIFS([1]销售表!J:J,[1]销售表!I:I,A15,[1]销售表!E:E,"可取")</f>
        <v>0</v>
      </c>
      <c r="K15" s="8"/>
      <c r="L15" s="8">
        <v>1000</v>
      </c>
      <c r="M15" s="10">
        <f>_xlfn.XLOOKUP(A15,[1]销售表!I:I,[1]销售表!J:J,0,0,-1)</f>
        <v>0</v>
      </c>
      <c r="N15" s="10" t="str" cm="1">
        <f t="array" ref="N15" ca="1">IF(C15&gt;180,"0",INDEX(P15:GM15,C15))</f>
        <v>0</v>
      </c>
      <c r="O15" s="20"/>
      <c r="P15" s="21">
        <f>SUMIFS([1]销售表!J:J,[1]销售表!I:I,A15,[1]销售表!B:B,$P$4)</f>
        <v>0</v>
      </c>
      <c r="Q15" s="21" t="e">
        <f ca="1">IF($C15&gt;Q$4,SUMIFS([1]销售表!$J:$J,[1]销售表!$I:$I,$A15,[1]销售表!$B:$B,Q$4),($L15-SUM($P15))*80%/(180-P$4))</f>
        <v>#VALUE!</v>
      </c>
      <c r="R15" s="21" t="e">
        <f ca="1">IF($C15&gt;R$4,SUMIFS([1]销售表!$J:$J,[1]销售表!$I:$I,$A15,[1]销售表!$B:$B,R$4),($L15-SUM($P15:Q15))*80%/(180-Q$4))</f>
        <v>#VALUE!</v>
      </c>
      <c r="S15" s="21" t="e">
        <f ca="1">IF($C15&gt;S$4,SUMIFS([1]销售表!$J:$J,[1]销售表!$I:$I,$A15,[1]销售表!$B:$B,S$4),($L15-SUM($P15:R15))*80%/(180-R$4))</f>
        <v>#VALUE!</v>
      </c>
      <c r="T15" s="21" t="e">
        <f ca="1">IF($C15&gt;T$4,SUMIFS([1]销售表!$J:$J,[1]销售表!$I:$I,$A15,[1]销售表!$B:$B,T$4),($L15-SUM($P15:S15))*80%/(180-S$4))</f>
        <v>#VALUE!</v>
      </c>
      <c r="U15" s="21" t="e">
        <f ca="1">IF($C15&gt;U$4,SUMIFS([1]销售表!$J:$J,[1]销售表!$I:$I,$A15,[1]销售表!$B:$B,U$4),($L15-SUM($P15:T15))*80%/(180-T$4))</f>
        <v>#VALUE!</v>
      </c>
      <c r="V15" s="21" t="e">
        <f ca="1">IF($C15&gt;V$4,SUMIFS([1]销售表!$J:$J,[1]销售表!$I:$I,$A15,[1]销售表!$B:$B,V$4),($L15-SUM($P15:U15))*80%/(180-U$4))</f>
        <v>#VALUE!</v>
      </c>
      <c r="W15" s="21" t="e">
        <f ca="1">IF($C15&gt;W$4,SUMIFS([1]销售表!$J:$J,[1]销售表!$I:$I,$A15,[1]销售表!$B:$B,W$4),($L15-SUM($P15:V15))*80%/(180-V$4))</f>
        <v>#VALUE!</v>
      </c>
      <c r="X15" s="21" t="e">
        <f ca="1">IF($C15&gt;X$4,SUMIFS([1]销售表!$J:$J,[1]销售表!$I:$I,$A15,[1]销售表!$B:$B,X$4),($L15-SUM($P15:W15))*80%/(180-W$4))</f>
        <v>#VALUE!</v>
      </c>
      <c r="Y15" s="21" t="e">
        <f ca="1">IF($C15&gt;Y$4,SUMIFS([1]销售表!$J:$J,[1]销售表!$I:$I,$A15,[1]销售表!$B:$B,Y$4),($L15-SUM($P15:X15))*80%/(180-X$4))</f>
        <v>#VALUE!</v>
      </c>
      <c r="Z15" s="21" t="e">
        <f ca="1">IF($C15&gt;Z$4,SUMIFS([1]销售表!$J:$J,[1]销售表!$I:$I,$A15,[1]销售表!$B:$B,Z$4),($L15-SUM($P15:Y15))*80%/(180-Y$4))</f>
        <v>#VALUE!</v>
      </c>
      <c r="AA15" s="21" t="e">
        <f ca="1">IF($C15&gt;AA$4,SUMIFS([1]销售表!$J:$J,[1]销售表!$I:$I,$A15,[1]销售表!$B:$B,AA$4),($L15-SUM($P15:Z15))*80%/(180-Z$4))</f>
        <v>#VALUE!</v>
      </c>
      <c r="AB15" s="21" t="e">
        <f ca="1">IF($C15&gt;AB$4,SUMIFS([1]销售表!$J:$J,[1]销售表!$I:$I,$A15,[1]销售表!$B:$B,AB$4),($L15-SUM($P15:AA15))*80%/(180-AA$4))</f>
        <v>#VALUE!</v>
      </c>
      <c r="AC15" s="21" t="e">
        <f ca="1">IF($C15&gt;AC$4,SUMIFS([1]销售表!$J:$J,[1]销售表!$I:$I,$A15,[1]销售表!$B:$B,AC$4),($L15-SUM($P15:AB15))*80%/(180-AB$4))</f>
        <v>#VALUE!</v>
      </c>
      <c r="AD15" s="21" t="e">
        <f ca="1">IF($C15&gt;AD$4,SUMIFS([1]销售表!$J:$J,[1]销售表!$I:$I,$A15,[1]销售表!$B:$B,AD$4),($L15-SUM($P15:AC15))*80%/(180-AC$4))</f>
        <v>#VALUE!</v>
      </c>
      <c r="AE15" s="21" t="e">
        <f ca="1">IF($C15&gt;AE$4,SUMIFS([1]销售表!$J:$J,[1]销售表!$I:$I,$A15,[1]销售表!$B:$B,AE$4),($L15-SUM($P15:AD15))*80%/(180-AD$4))</f>
        <v>#VALUE!</v>
      </c>
      <c r="AF15" s="21" t="e">
        <f ca="1">IF($C15&gt;AF$4,SUMIFS([1]销售表!$J:$J,[1]销售表!$I:$I,$A15,[1]销售表!$B:$B,AF$4),($L15-SUM($P15:AE15))*80%/(180-AE$4))</f>
        <v>#VALUE!</v>
      </c>
      <c r="AG15" s="21" t="e">
        <f ca="1">IF($C15&gt;AG$4,SUMIFS([1]销售表!$J:$J,[1]销售表!$I:$I,$A15,[1]销售表!$B:$B,AG$4),($L15-SUM($P15:AF15))*80%/(180-AF$4))</f>
        <v>#VALUE!</v>
      </c>
      <c r="AH15" s="21" t="e">
        <f ca="1">IF($C15&gt;AH$4,SUMIFS([1]销售表!$J:$J,[1]销售表!$I:$I,$A15,[1]销售表!$B:$B,AH$4),($L15-SUM($P15:AG15))*80%/(180-AG$4))</f>
        <v>#VALUE!</v>
      </c>
      <c r="AI15" s="21" t="e">
        <f ca="1">IF($C15&gt;AI$4,SUMIFS([1]销售表!$J:$J,[1]销售表!$I:$I,$A15,[1]销售表!$B:$B,AI$4),($L15-SUM($P15:AH15))*80%/(180-AH$4))</f>
        <v>#VALUE!</v>
      </c>
      <c r="AJ15" s="21" t="e">
        <f ca="1">IF($C15&gt;AJ$4,SUMIFS([1]销售表!$J:$J,[1]销售表!$I:$I,$A15,[1]销售表!$B:$B,AJ$4),($L15-SUM($P15:AI15))*80%/(180-AI$4))</f>
        <v>#VALUE!</v>
      </c>
      <c r="AK15" s="21" t="e">
        <f ca="1">IF($C15&gt;AK$4,SUMIFS([1]销售表!$J:$J,[1]销售表!$I:$I,$A15,[1]销售表!$B:$B,AK$4),($L15-SUM($P15:AJ15))*80%/(180-AJ$4))</f>
        <v>#VALUE!</v>
      </c>
      <c r="AL15" s="21" t="e">
        <f ca="1">IF($C15&gt;AL$4,SUMIFS([1]销售表!$J:$J,[1]销售表!$I:$I,$A15,[1]销售表!$B:$B,AL$4),($L15-SUM($P15:AK15))*80%/(180-AK$4))</f>
        <v>#VALUE!</v>
      </c>
      <c r="AM15" s="21" t="e">
        <f ca="1">IF($C15&gt;AM$4,SUMIFS([1]销售表!$J:$J,[1]销售表!$I:$I,$A15,[1]销售表!$B:$B,AM$4),($L15-SUM($P15:AL15))*80%/(180-AL$4))</f>
        <v>#VALUE!</v>
      </c>
      <c r="AN15" s="21" t="e">
        <f ca="1">IF($C15&gt;AN$4,SUMIFS([1]销售表!$J:$J,[1]销售表!$I:$I,$A15,[1]销售表!$B:$B,AN$4),($L15-SUM($P15:AM15))*80%/(180-AM$4))</f>
        <v>#VALUE!</v>
      </c>
      <c r="AO15" s="21" t="e">
        <f ca="1">IF($C15&gt;AO$4,SUMIFS([1]销售表!$J:$J,[1]销售表!$I:$I,$A15,[1]销售表!$B:$B,AO$4),($L15-SUM($P15:AN15))*80%/(180-AN$4))</f>
        <v>#VALUE!</v>
      </c>
      <c r="AP15" s="21" t="e">
        <f ca="1">IF($C15&gt;AP$4,SUMIFS([1]销售表!$J:$J,[1]销售表!$I:$I,$A15,[1]销售表!$B:$B,AP$4),($L15-SUM($P15:AO15))*80%/(180-AO$4))</f>
        <v>#VALUE!</v>
      </c>
      <c r="AQ15" s="21" t="e">
        <f ca="1">IF($C15&gt;AQ$4,SUMIFS([1]销售表!$J:$J,[1]销售表!$I:$I,$A15,[1]销售表!$B:$B,AQ$4),($L15-SUM($P15:AP15))*80%/(180-AP$4))</f>
        <v>#VALUE!</v>
      </c>
      <c r="AR15" s="21" t="e">
        <f ca="1">IF($C15&gt;AR$4,SUMIFS([1]销售表!$J:$J,[1]销售表!$I:$I,$A15,[1]销售表!$B:$B,AR$4),($L15-SUM($P15:AQ15))*80%/(180-AQ$4))</f>
        <v>#VALUE!</v>
      </c>
      <c r="AS15" s="21" t="e">
        <f ca="1">IF($C15&gt;AS$4,SUMIFS([1]销售表!$J:$J,[1]销售表!$I:$I,$A15,[1]销售表!$B:$B,AS$4),($L15-SUM($P15:AR15))*80%/(180-AR$4))</f>
        <v>#VALUE!</v>
      </c>
      <c r="AT15" s="21" t="e">
        <f ca="1">IF($C15&gt;AT$4,SUMIFS([1]销售表!$J:$J,[1]销售表!$I:$I,$A15,[1]销售表!$B:$B,AT$4),($L15-SUM($P15:AS15))*110%/(180-AS$4))</f>
        <v>#VALUE!</v>
      </c>
      <c r="AU15" s="21" t="e">
        <f ca="1">IF($C15&gt;AU$4,SUMIFS([1]销售表!$J:$J,[1]销售表!$I:$I,$A15,[1]销售表!$B:$B,AU$4),($L15-SUM($P15:AT15))*110%/(180-AT$4))</f>
        <v>#VALUE!</v>
      </c>
      <c r="AV15" s="21" t="e">
        <f ca="1">IF($C15&gt;AV$4,SUMIFS([1]销售表!$J:$J,[1]销售表!$I:$I,$A15,[1]销售表!$B:$B,AV$4),($L15-SUM($P15:AU15))*110%/(180-AU$4))</f>
        <v>#VALUE!</v>
      </c>
      <c r="AW15" s="21" t="e">
        <f ca="1">IF($C15&gt;AW$4,SUMIFS([1]销售表!$J:$J,[1]销售表!$I:$I,$A15,[1]销售表!$B:$B,AW$4),($L15-SUM($P15:AV15))*110%/(180-AV$4))</f>
        <v>#VALUE!</v>
      </c>
      <c r="AX15" s="21" t="e">
        <f ca="1">IF($C15&gt;AX$4,SUMIFS([1]销售表!$J:$J,[1]销售表!$I:$I,$A15,[1]销售表!$B:$B,AX$4),($L15-SUM($P15:AW15))*110%/(180-AW$4))</f>
        <v>#VALUE!</v>
      </c>
      <c r="AY15" s="21" t="e">
        <f ca="1">IF($C15&gt;AY$4,SUMIFS([1]销售表!$J:$J,[1]销售表!$I:$I,$A15,[1]销售表!$B:$B,AY$4),($L15-SUM($P15:AX15))*110%/(180-AX$4))</f>
        <v>#VALUE!</v>
      </c>
      <c r="AZ15" s="21" t="e">
        <f ca="1">IF($C15&gt;AZ$4,SUMIFS([1]销售表!$J:$J,[1]销售表!$I:$I,$A15,[1]销售表!$B:$B,AZ$4),($L15-SUM($P15:AY15))*110%/(180-AY$4))</f>
        <v>#VALUE!</v>
      </c>
      <c r="BA15" s="21" t="e">
        <f ca="1">IF($C15&gt;BA$4,SUMIFS([1]销售表!$J:$J,[1]销售表!$I:$I,$A15,[1]销售表!$B:$B,BA$4),($L15-SUM($P15:AZ15))*110%/(180-AZ$4))</f>
        <v>#VALUE!</v>
      </c>
      <c r="BB15" s="21" t="e">
        <f ca="1">IF($C15&gt;BB$4,SUMIFS([1]销售表!$J:$J,[1]销售表!$I:$I,$A15,[1]销售表!$B:$B,BB$4),($L15-SUM($P15:BA15))*110%/(180-BA$4))</f>
        <v>#VALUE!</v>
      </c>
      <c r="BC15" s="21" t="e">
        <f ca="1">IF($C15&gt;BC$4,SUMIFS([1]销售表!$J:$J,[1]销售表!$I:$I,$A15,[1]销售表!$B:$B,BC$4),($L15-SUM($P15:BB15))*110%/(180-BB$4))</f>
        <v>#VALUE!</v>
      </c>
      <c r="BD15" s="21" t="e">
        <f ca="1">IF($C15&gt;BD$4,SUMIFS([1]销售表!$J:$J,[1]销售表!$I:$I,$A15,[1]销售表!$B:$B,BD$4),($L15-SUM($P15:BC15))*110%/(180-BC$4))</f>
        <v>#VALUE!</v>
      </c>
      <c r="BE15" s="21" t="e">
        <f ca="1">IF($C15&gt;BE$4,SUMIFS([1]销售表!$J:$J,[1]销售表!$I:$I,$A15,[1]销售表!$B:$B,BE$4),($L15-SUM($P15:BD15))*110%/(180-BD$4))</f>
        <v>#VALUE!</v>
      </c>
      <c r="BF15" s="21" t="e">
        <f ca="1">IF($C15&gt;BF$4,SUMIFS([1]销售表!$J:$J,[1]销售表!$I:$I,$A15,[1]销售表!$B:$B,BF$4),($L15-SUM($P15:BE15))*110%/(180-BE$4))</f>
        <v>#VALUE!</v>
      </c>
      <c r="BG15" s="21" t="e">
        <f ca="1">IF($C15&gt;BG$4,SUMIFS([1]销售表!$J:$J,[1]销售表!$I:$I,$A15,[1]销售表!$B:$B,BG$4),($L15-SUM($P15:BF15))*110%/(180-BF$4))</f>
        <v>#VALUE!</v>
      </c>
      <c r="BH15" s="21" t="e">
        <f ca="1">IF($C15&gt;BH$4,SUMIFS([1]销售表!$J:$J,[1]销售表!$I:$I,$A15,[1]销售表!$B:$B,BH$4),($L15-SUM($P15:BG15))*110%/(180-BG$4))</f>
        <v>#VALUE!</v>
      </c>
      <c r="BI15" s="21" t="e">
        <f ca="1">IF($C15&gt;BI$4,SUMIFS([1]销售表!$J:$J,[1]销售表!$I:$I,$A15,[1]销售表!$B:$B,BI$4),($L15-SUM($P15:BH15))*110%/(180-BH$4))</f>
        <v>#VALUE!</v>
      </c>
      <c r="BJ15" s="21" t="e">
        <f ca="1">IF($C15&gt;BJ$4,SUMIFS([1]销售表!$J:$J,[1]销售表!$I:$I,$A15,[1]销售表!$B:$B,BJ$4),($L15-SUM($P15:BI15))*110%/(180-BI$4))</f>
        <v>#VALUE!</v>
      </c>
      <c r="BK15" s="21" t="e">
        <f ca="1">IF($C15&gt;BK$4,SUMIFS([1]销售表!$J:$J,[1]销售表!$I:$I,$A15,[1]销售表!$B:$B,BK$4),($L15-SUM($P15:BJ15))*110%/(180-BJ$4))</f>
        <v>#VALUE!</v>
      </c>
      <c r="BL15" s="21" t="e">
        <f ca="1">IF($C15&gt;BL$4,SUMIFS([1]销售表!$J:$J,[1]销售表!$I:$I,$A15,[1]销售表!$B:$B,BL$4),($L15-SUM($P15:BK15))*110%/(180-BK$4))</f>
        <v>#VALUE!</v>
      </c>
      <c r="BM15" s="21" t="e">
        <f ca="1">IF($C15&gt;BM$4,SUMIFS([1]销售表!$J:$J,[1]销售表!$I:$I,$A15,[1]销售表!$B:$B,BM$4),($L15-SUM($P15:BL15))*110%/(180-BL$4))</f>
        <v>#VALUE!</v>
      </c>
      <c r="BN15" s="21" t="e">
        <f ca="1">IF($C15&gt;BN$4,SUMIFS([1]销售表!$J:$J,[1]销售表!$I:$I,$A15,[1]销售表!$B:$B,BN$4),($L15-SUM($P15:BM15))*110%/(180-BM$4))</f>
        <v>#VALUE!</v>
      </c>
      <c r="BO15" s="21" t="e">
        <f ca="1">IF($C15&gt;BO$4,SUMIFS([1]销售表!$J:$J,[1]销售表!$I:$I,$A15,[1]销售表!$B:$B,BO$4),($L15-SUM($P15:BN15))*110%/(180-BN$4))</f>
        <v>#VALUE!</v>
      </c>
      <c r="BP15" s="21" t="e">
        <f ca="1">IF($C15&gt;BP$4,SUMIFS([1]销售表!$J:$J,[1]销售表!$I:$I,$A15,[1]销售表!$B:$B,BP$4),($L15-SUM($P15:BO15))*110%/(180-BO$4))</f>
        <v>#VALUE!</v>
      </c>
      <c r="BQ15" s="21" t="e">
        <f ca="1">IF($C15&gt;BQ$4,SUMIFS([1]销售表!$J:$J,[1]销售表!$I:$I,$A15,[1]销售表!$B:$B,BQ$4),($L15-SUM($P15:BP15))*110%/(180-BP$4))</f>
        <v>#VALUE!</v>
      </c>
      <c r="BR15" s="21" t="e">
        <f ca="1">IF($C15&gt;BR$4,SUMIFS([1]销售表!$J:$J,[1]销售表!$I:$I,$A15,[1]销售表!$B:$B,BR$4),($L15-SUM($P15:BQ15))*110%/(180-BQ$4))</f>
        <v>#VALUE!</v>
      </c>
      <c r="BS15" s="21" t="e">
        <f ca="1">IF($C15&gt;BS$4,SUMIFS([1]销售表!$J:$J,[1]销售表!$I:$I,$A15,[1]销售表!$B:$B,BS$4),($L15-SUM($P15:BR15))*110%/(180-BR$4))</f>
        <v>#VALUE!</v>
      </c>
      <c r="BT15" s="21" t="e">
        <f ca="1">IF($C15&gt;BT$4,SUMIFS([1]销售表!$J:$J,[1]销售表!$I:$I,$A15,[1]销售表!$B:$B,BT$4),($L15-SUM($P15:BS15))*110%/(180-BS$4))</f>
        <v>#VALUE!</v>
      </c>
      <c r="BU15" s="21" t="e">
        <f ca="1">IF($C15&gt;BU$4,SUMIFS([1]销售表!$J:$J,[1]销售表!$I:$I,$A15,[1]销售表!$B:$B,BU$4),($L15-SUM($P15:BT15))*110%/(180-BT$4))</f>
        <v>#VALUE!</v>
      </c>
      <c r="BV15" s="21" t="e">
        <f ca="1">IF($C15&gt;BV$4,SUMIFS([1]销售表!$J:$J,[1]销售表!$I:$I,$A15,[1]销售表!$B:$B,BV$4),($L15-SUM($P15:BU15))*110%/(180-BU$4))</f>
        <v>#VALUE!</v>
      </c>
      <c r="BW15" s="21" t="e">
        <f ca="1">IF($C15&gt;BW$4,SUMIFS([1]销售表!$J:$J,[1]销售表!$I:$I,$A15,[1]销售表!$B:$B,BW$4),($L15-SUM($P15:BV15))*110%/(180-BV$4))</f>
        <v>#VALUE!</v>
      </c>
      <c r="BX15" s="21" t="e">
        <f ca="1">IF($C15&gt;BX$4,SUMIFS([1]销售表!$J:$J,[1]销售表!$I:$I,$A15,[1]销售表!$B:$B,BX$4),($L15-SUM($P15:BW15))*110%/(180-BW$4))</f>
        <v>#VALUE!</v>
      </c>
      <c r="BY15" s="21" t="e">
        <f ca="1">IF($C15&gt;BY$4,SUMIFS([1]销售表!$J:$J,[1]销售表!$I:$I,$A15,[1]销售表!$B:$B,BY$4),($L15-SUM($P15:BX15))*110%/(180-BX$4))</f>
        <v>#VALUE!</v>
      </c>
      <c r="BZ15" s="21" t="e">
        <f ca="1">IF($C15&gt;BZ$4,SUMIFS([1]销售表!$J:$J,[1]销售表!$I:$I,$A15,[1]销售表!$B:$B,BZ$4),($L15-SUM($P15:BY15))*110%/(180-BY$4))</f>
        <v>#VALUE!</v>
      </c>
      <c r="CA15" s="21" t="e">
        <f ca="1">IF($C15&gt;CA$4,SUMIFS([1]销售表!$J:$J,[1]销售表!$I:$I,$A15,[1]销售表!$B:$B,CA$4),($L15-SUM($P15:BZ15))*110%/(180-BZ$4))</f>
        <v>#VALUE!</v>
      </c>
      <c r="CB15" s="21" t="e">
        <f ca="1">IF($C15&gt;CB$4,SUMIFS([1]销售表!$J:$J,[1]销售表!$I:$I,$A15,[1]销售表!$B:$B,CB$4),($L15-SUM($P15:CA15))*110%/(180-CA$4))</f>
        <v>#VALUE!</v>
      </c>
      <c r="CC15" s="21" t="e">
        <f ca="1">IF($C15&gt;CC$4,SUMIFS([1]销售表!$J:$J,[1]销售表!$I:$I,$A15,[1]销售表!$B:$B,CC$4),($L15-SUM($P15:CB15))*110%/(180-CB$4))</f>
        <v>#VALUE!</v>
      </c>
      <c r="CD15" s="21" t="e">
        <f ca="1">IF($C15&gt;CD$4,SUMIFS([1]销售表!$J:$J,[1]销售表!$I:$I,$A15,[1]销售表!$B:$B,CD$4),($L15-SUM($P15:CC15))*110%/(180-CC$4))</f>
        <v>#VALUE!</v>
      </c>
      <c r="CE15" s="21" t="e">
        <f ca="1">IF($C15&gt;CE$4,SUMIFS([1]销售表!$J:$J,[1]销售表!$I:$I,$A15,[1]销售表!$B:$B,CE$4),($L15-SUM($P15:CD15))*110%/(180-CD$4))</f>
        <v>#VALUE!</v>
      </c>
      <c r="CF15" s="21" t="e">
        <f ca="1">IF($C15&gt;CF$4,SUMIFS([1]销售表!$J:$J,[1]销售表!$I:$I,$A15,[1]销售表!$B:$B,CF$4),($L15-SUM($P15:CE15))*110%/(180-CE$4))</f>
        <v>#VALUE!</v>
      </c>
      <c r="CG15" s="21" t="e">
        <f ca="1">IF($C15&gt;CG$4,SUMIFS([1]销售表!$J:$J,[1]销售表!$I:$I,$A15,[1]销售表!$B:$B,CG$4),($L15-SUM($P15:CF15))*110%/(180-CF$4))</f>
        <v>#VALUE!</v>
      </c>
      <c r="CH15" s="21" t="e">
        <f ca="1">IF($C15&gt;CH$4,SUMIFS([1]销售表!$J:$J,[1]销售表!$I:$I,$A15,[1]销售表!$B:$B,CH$4),($L15-SUM($P15:CG15))*110%/(180-CG$4))</f>
        <v>#VALUE!</v>
      </c>
      <c r="CI15" s="21" t="e">
        <f ca="1">IF($C15&gt;CI$4,SUMIFS([1]销售表!$J:$J,[1]销售表!$I:$I,$A15,[1]销售表!$B:$B,CI$4),($L15-SUM($P15:CH15))*110%/(180-CH$4))</f>
        <v>#VALUE!</v>
      </c>
      <c r="CJ15" s="21" t="e">
        <f ca="1">IF($C15&gt;CJ$4,SUMIFS([1]销售表!$J:$J,[1]销售表!$I:$I,$A15,[1]销售表!$B:$B,CJ$4),($L15-SUM($P15:CI15))*110%/(180-CI$4))</f>
        <v>#VALUE!</v>
      </c>
      <c r="CK15" s="21" t="e">
        <f ca="1">IF($C15&gt;CK$4,SUMIFS([1]销售表!$J:$J,[1]销售表!$I:$I,$A15,[1]销售表!$B:$B,CK$4),($L15-SUM($P15:CJ15))*110%/(180-CJ$4))</f>
        <v>#VALUE!</v>
      </c>
      <c r="CL15" s="21" t="e">
        <f ca="1">IF($C15&gt;CL$4,SUMIFS([1]销售表!$J:$J,[1]销售表!$I:$I,$A15,[1]销售表!$B:$B,CL$4),($L15-SUM($P15:CK15))*110%/(180-CK$4))</f>
        <v>#VALUE!</v>
      </c>
      <c r="CM15" s="21" t="e">
        <f ca="1">IF($C15&gt;CM$4,SUMIFS([1]销售表!$J:$J,[1]销售表!$I:$I,$A15,[1]销售表!$B:$B,CM$4),($L15-SUM($P15:CL15))*110%/(180-CL$4))</f>
        <v>#VALUE!</v>
      </c>
      <c r="CN15" s="21" t="e">
        <f ca="1">IF($C15&gt;CN$4,SUMIFS([1]销售表!$J:$J,[1]销售表!$I:$I,$A15,[1]销售表!$B:$B,CN$4),($L15-SUM($P15:CM15))*110%/(180-CM$4))</f>
        <v>#VALUE!</v>
      </c>
      <c r="CO15" s="21" t="e">
        <f ca="1">IF($C15&gt;CO$4,SUMIFS([1]销售表!$J:$J,[1]销售表!$I:$I,$A15,[1]销售表!$B:$B,CO$4),($L15-SUM($P15:CN15))*110%/(180-CN$4))</f>
        <v>#VALUE!</v>
      </c>
      <c r="CP15" s="21" t="e">
        <f ca="1">IF($C15&gt;CP$4,SUMIFS([1]销售表!$J:$J,[1]销售表!$I:$I,$A15,[1]销售表!$B:$B,CP$4),($L15-SUM($P15:CO15))*110%/(180-CO$4))</f>
        <v>#VALUE!</v>
      </c>
      <c r="CQ15" s="21" t="e">
        <f ca="1">IF($C15&gt;CQ$4,SUMIFS([1]销售表!$J:$J,[1]销售表!$I:$I,$A15,[1]销售表!$B:$B,CQ$4),($L15-SUM($P15:CP15))*110%/(180-CP$4))</f>
        <v>#VALUE!</v>
      </c>
      <c r="CR15" s="21" t="e">
        <f ca="1">IF($C15&gt;CR$4,SUMIFS([1]销售表!$J:$J,[1]销售表!$I:$I,$A15,[1]销售表!$B:$B,CR$4),($L15-SUM($P15:CQ15))*110%/(180-CQ$4))</f>
        <v>#VALUE!</v>
      </c>
      <c r="CS15" s="21" t="e">
        <f ca="1">IF($C15&gt;CS$4,SUMIFS([1]销售表!$J:$J,[1]销售表!$I:$I,$A15,[1]销售表!$B:$B,CS$4),($L15-SUM($P15:CR15))*110%/(180-CR$4))</f>
        <v>#VALUE!</v>
      </c>
      <c r="CT15" s="21" t="e">
        <f ca="1">IF($C15&gt;CT$4,SUMIFS([1]销售表!$J:$J,[1]销售表!$I:$I,$A15,[1]销售表!$B:$B,CT$4),($L15-SUM($P15:CS15))*110%/(180-CS$4))</f>
        <v>#VALUE!</v>
      </c>
      <c r="CU15" s="21" t="e">
        <f ca="1">IF($C15&gt;CU$4,SUMIFS([1]销售表!$J:$J,[1]销售表!$I:$I,$A15,[1]销售表!$B:$B,CU$4),($L15-SUM($P15:CT15))*110%/(180-CT$4))</f>
        <v>#VALUE!</v>
      </c>
      <c r="CV15" s="21" t="e">
        <f ca="1">IF($C15&gt;CV$4,SUMIFS([1]销售表!$J:$J,[1]销售表!$I:$I,$A15,[1]销售表!$B:$B,CV$4),($L15-SUM($P15:CU15))*110%/(180-CU$4))</f>
        <v>#VALUE!</v>
      </c>
      <c r="CW15" s="21" t="e">
        <f ca="1">IF($C15&gt;CW$4,SUMIFS([1]销售表!$J:$J,[1]销售表!$I:$I,$A15,[1]销售表!$B:$B,CW$4),($L15-SUM($P15:CV15))*110%/(180-CV$4))</f>
        <v>#VALUE!</v>
      </c>
      <c r="CX15" s="21" t="e">
        <f ca="1">IF($C15&gt;CX$4,SUMIFS([1]销售表!$J:$J,[1]销售表!$I:$I,$A15,[1]销售表!$B:$B,CX$4),($L15-SUM($P15:CW15))*110%/(180-CW$4))</f>
        <v>#VALUE!</v>
      </c>
      <c r="CY15" s="21" t="e">
        <f ca="1">IF($C15&gt;CY$4,SUMIFS([1]销售表!$J:$J,[1]销售表!$I:$I,$A15,[1]销售表!$B:$B,CY$4),($L15-SUM($P15:CX15))*110%/(180-CX$4))</f>
        <v>#VALUE!</v>
      </c>
      <c r="CZ15" s="21" t="e">
        <f ca="1">IF($C15&gt;CZ$4,SUMIFS([1]销售表!$J:$J,[1]销售表!$I:$I,$A15,[1]销售表!$B:$B,CZ$4),($L15-SUM($P15:CY15))*110%/(180-CY$4))</f>
        <v>#VALUE!</v>
      </c>
      <c r="DA15" s="21" t="e">
        <f ca="1">IF($C15&gt;DA$4,SUMIFS([1]销售表!$J:$J,[1]销售表!$I:$I,$A15,[1]销售表!$B:$B,DA$4),($L15-SUM($P15:CZ15))*110%/(180-CZ$4))</f>
        <v>#VALUE!</v>
      </c>
      <c r="DB15" s="21" t="e">
        <f ca="1">IF($C15&gt;DB$4,SUMIFS([1]销售表!$J:$J,[1]销售表!$I:$I,$A15,[1]销售表!$B:$B,DB$4),($L15-SUM($P15:DA15))*110%/(180-DA$4))</f>
        <v>#VALUE!</v>
      </c>
      <c r="DC15" s="21" t="e">
        <f ca="1">IF($C15&gt;DC$4,SUMIFS([1]销售表!$J:$J,[1]销售表!$I:$I,$A15,[1]销售表!$B:$B,DC$4),($L15-SUM($P15:DB15))*110%/(180-DB$4))</f>
        <v>#VALUE!</v>
      </c>
      <c r="DD15" s="21" t="e">
        <f ca="1">IF($C15&gt;DD$4,SUMIFS([1]销售表!$J:$J,[1]销售表!$I:$I,$A15,[1]销售表!$B:$B,DD$4),($L15-SUM($P15:DC15))*110%/(180-DC$4))</f>
        <v>#VALUE!</v>
      </c>
      <c r="DE15" s="21" t="e">
        <f ca="1">IF($C15&gt;DE$4,SUMIFS([1]销售表!$J:$J,[1]销售表!$I:$I,$A15,[1]销售表!$B:$B,DE$4),($L15-SUM($P15:DD15))*110%/(180-DD$4))</f>
        <v>#VALUE!</v>
      </c>
      <c r="DF15" s="21" t="e">
        <f ca="1">IF($C15&gt;DF$4,SUMIFS([1]销售表!$J:$J,[1]销售表!$I:$I,$A15,[1]销售表!$B:$B,DF$4),($L15-SUM($P15:DE15))*110%/(180-DE$4))</f>
        <v>#VALUE!</v>
      </c>
      <c r="DG15" s="21" t="e">
        <f ca="1">IF($C15&gt;DG$4,SUMIFS([1]销售表!$J:$J,[1]销售表!$I:$I,$A15,[1]销售表!$B:$B,DG$4),($L15-SUM($P15:DF15))*110%/(180-DF$4))</f>
        <v>#VALUE!</v>
      </c>
      <c r="DH15" s="21" t="e">
        <f ca="1">IF($C15&gt;DH$4,SUMIFS([1]销售表!$J:$J,[1]销售表!$I:$I,$A15,[1]销售表!$B:$B,DH$4),($L15-SUM($P15:DG15))*110%/(180-DG$4))</f>
        <v>#VALUE!</v>
      </c>
      <c r="DI15" s="21" t="e">
        <f ca="1">IF($C15&gt;DI$4,SUMIFS([1]销售表!$J:$J,[1]销售表!$I:$I,$A15,[1]销售表!$B:$B,DI$4),($L15-SUM($P15:DH15))*110%/(180-DH$4))</f>
        <v>#VALUE!</v>
      </c>
      <c r="DJ15" s="21" t="e">
        <f ca="1">IF($C15&gt;DJ$4,SUMIFS([1]销售表!$J:$J,[1]销售表!$I:$I,$A15,[1]销售表!$B:$B,DJ$4),($L15-SUM($P15:DI15))*110%/(180-DI$4))</f>
        <v>#VALUE!</v>
      </c>
      <c r="DK15" s="21" t="e">
        <f ca="1">IF($C15&gt;DK$4,SUMIFS([1]销售表!$J:$J,[1]销售表!$I:$I,$A15,[1]销售表!$B:$B,DK$4),($L15-SUM($P15:DJ15))*110%/(180-DJ$4))</f>
        <v>#VALUE!</v>
      </c>
      <c r="DL15" s="21" t="e">
        <f ca="1">IF($C15&gt;DL$4,SUMIFS([1]销售表!$J:$J,[1]销售表!$I:$I,$A15,[1]销售表!$B:$B,DL$4),($L15-SUM($P15:DK15))*110%/(180-DK$4))</f>
        <v>#VALUE!</v>
      </c>
      <c r="DM15" s="21" t="e">
        <f ca="1">IF($C15&gt;DM$4,SUMIFS([1]销售表!$J:$J,[1]销售表!$I:$I,$A15,[1]销售表!$B:$B,DM$4),($L15-SUM($P15:DL15))*110%/(180-DL$4))</f>
        <v>#VALUE!</v>
      </c>
      <c r="DN15" s="21" t="e">
        <f ca="1">IF($C15&gt;DN$4,SUMIFS([1]销售表!$J:$J,[1]销售表!$I:$I,$A15,[1]销售表!$B:$B,DN$4),($L15-SUM($P15:DM15))*110%/(180-DM$4))</f>
        <v>#VALUE!</v>
      </c>
      <c r="DO15" s="21" t="e">
        <f ca="1">IF($C15&gt;DO$4,SUMIFS([1]销售表!$J:$J,[1]销售表!$I:$I,$A15,[1]销售表!$B:$B,DO$4),($L15-SUM($P15:DN15))*110%/(180-DN$4))</f>
        <v>#VALUE!</v>
      </c>
      <c r="DP15" s="21" t="e">
        <f ca="1">IF($C15&gt;DP$4,SUMIFS([1]销售表!$J:$J,[1]销售表!$I:$I,$A15,[1]销售表!$B:$B,DP$4),($L15-SUM($P15:DO15))*110%/(180-DO$4))</f>
        <v>#VALUE!</v>
      </c>
      <c r="DQ15" s="21" t="e">
        <f ca="1">IF($C15&gt;DQ$4,SUMIFS([1]销售表!$J:$J,[1]销售表!$I:$I,$A15,[1]销售表!$B:$B,DQ$4),($L15-SUM($P15:DP15))*110%/(180-DP$4))</f>
        <v>#VALUE!</v>
      </c>
      <c r="DR15" s="21" t="e">
        <f ca="1">IF($C15&gt;DR$4,SUMIFS([1]销售表!$J:$J,[1]销售表!$I:$I,$A15,[1]销售表!$B:$B,DR$4),($L15-SUM($P15:DQ15))*110%/(180-DQ$4))</f>
        <v>#VALUE!</v>
      </c>
      <c r="DS15" s="21" t="e">
        <f ca="1">IF($C15&gt;DS$4,SUMIFS([1]销售表!$J:$J,[1]销售表!$I:$I,$A15,[1]销售表!$B:$B,DS$4),($L15-SUM($P15:DR15))*110%/(180-DR$4))</f>
        <v>#VALUE!</v>
      </c>
      <c r="DT15" s="21" t="e">
        <f ca="1">IF($C15&gt;DT$4,SUMIFS([1]销售表!$J:$J,[1]销售表!$I:$I,$A15,[1]销售表!$B:$B,DT$4),($L15-SUM($P15:DS15))*110%/(180-DS$4))</f>
        <v>#VALUE!</v>
      </c>
      <c r="DU15" s="21" t="e">
        <f ca="1">IF($C15&gt;DU$4,SUMIFS([1]销售表!$J:$J,[1]销售表!$I:$I,$A15,[1]销售表!$B:$B,DU$4),($L15-SUM($P15:DT15))*110%/(180-DT$4))</f>
        <v>#VALUE!</v>
      </c>
      <c r="DV15" s="21" t="e">
        <f ca="1">IF($C15&gt;DV$4,SUMIFS([1]销售表!$J:$J,[1]销售表!$I:$I,$A15,[1]销售表!$B:$B,DV$4),($L15-SUM($P15:DU15))*110%/(180-DU$4))</f>
        <v>#VALUE!</v>
      </c>
      <c r="DW15" s="21" t="e">
        <f ca="1">IF($C15&gt;DW$4,SUMIFS([1]销售表!$J:$J,[1]销售表!$I:$I,$A15,[1]销售表!$B:$B,DW$4),($L15-SUM($P15:DV15))*110%/(180-DV$4))</f>
        <v>#VALUE!</v>
      </c>
      <c r="DX15" s="21" t="e">
        <f ca="1">IF($C15&gt;DX$4,SUMIFS([1]销售表!$J:$J,[1]销售表!$I:$I,$A15,[1]销售表!$B:$B,DX$4),($L15-SUM($P15:DW15))*110%/(180-DW$4))</f>
        <v>#VALUE!</v>
      </c>
      <c r="DY15" s="21" t="e">
        <f ca="1">IF($C15&gt;DY$4,SUMIFS([1]销售表!$J:$J,[1]销售表!$I:$I,$A15,[1]销售表!$B:$B,DY$4),($L15-SUM($P15:DX15))*110%/(180-DX$4))</f>
        <v>#VALUE!</v>
      </c>
      <c r="DZ15" s="21" t="e">
        <f ca="1">IF($C15&gt;DZ$4,SUMIFS([1]销售表!$J:$J,[1]销售表!$I:$I,$A15,[1]销售表!$B:$B,DZ$4),($L15-SUM($P15:DY15))*110%/(180-DY$4))</f>
        <v>#VALUE!</v>
      </c>
      <c r="EA15" s="21" t="e">
        <f ca="1">IF($C15&gt;EA$4,SUMIFS([1]销售表!$J:$J,[1]销售表!$I:$I,$A15,[1]销售表!$B:$B,EA$4),($L15-SUM($P15:DZ15))*110%/(180-DZ$4))</f>
        <v>#VALUE!</v>
      </c>
      <c r="EB15" s="21" t="e">
        <f ca="1">IF($C15&gt;EB$4,SUMIFS([1]销售表!$J:$J,[1]销售表!$I:$I,$A15,[1]销售表!$B:$B,EB$4),($L15-SUM($P15:EA15))*110%/(180-EA$4))</f>
        <v>#VALUE!</v>
      </c>
      <c r="EC15" s="21" t="e">
        <f ca="1">IF($C15&gt;EC$4,SUMIFS([1]销售表!$J:$J,[1]销售表!$I:$I,$A15,[1]销售表!$B:$B,EC$4),($L15-SUM($P15:EB15))*110%/(180-EB$4))</f>
        <v>#VALUE!</v>
      </c>
      <c r="ED15" s="21" t="e">
        <f ca="1">IF($C15&gt;ED$4,SUMIFS([1]销售表!$J:$J,[1]销售表!$I:$I,$A15,[1]销售表!$B:$B,ED$4),($L15-SUM($P15:EC15))*110%/(180-EC$4))</f>
        <v>#VALUE!</v>
      </c>
      <c r="EE15" s="21" t="e">
        <f ca="1">IF($C15&gt;EE$4,SUMIFS([1]销售表!$J:$J,[1]销售表!$I:$I,$A15,[1]销售表!$B:$B,EE$4),($L15-SUM($P15:ED15))*110%/(180-ED$4))</f>
        <v>#VALUE!</v>
      </c>
      <c r="EF15" s="21" t="e">
        <f ca="1">IF($C15&gt;EF$4,SUMIFS([1]销售表!$J:$J,[1]销售表!$I:$I,$A15,[1]销售表!$B:$B,EF$4),($L15-SUM($P15:EE15))*100%/(180-EE$4))</f>
        <v>#VALUE!</v>
      </c>
      <c r="EG15" s="21" t="e">
        <f ca="1">IF($C15&gt;EG$4,SUMIFS([1]销售表!$J:$J,[1]销售表!$I:$I,$A15,[1]销售表!$B:$B,EG$4),($L15-SUM($P15:EF15))*100%/(180-EF$4))</f>
        <v>#VALUE!</v>
      </c>
      <c r="EH15" s="21" t="e">
        <f ca="1">IF($C15&gt;EH$4,SUMIFS([1]销售表!$J:$J,[1]销售表!$I:$I,$A15,[1]销售表!$B:$B,EH$4),($L15-SUM($P15:EG15))*100%/(180-EG$4))</f>
        <v>#VALUE!</v>
      </c>
      <c r="EI15" s="21" t="e">
        <f ca="1">IF($C15&gt;EI$4,SUMIFS([1]销售表!$J:$J,[1]销售表!$I:$I,$A15,[1]销售表!$B:$B,EI$4),($L15-SUM($P15:EH15))*100%/(180-EH$4))</f>
        <v>#VALUE!</v>
      </c>
      <c r="EJ15" s="21" t="e">
        <f ca="1">IF($C15&gt;EJ$4,SUMIFS([1]销售表!$J:$J,[1]销售表!$I:$I,$A15,[1]销售表!$B:$B,EJ$4),($L15-SUM($P15:EI15))*100%/(180-EI$4))</f>
        <v>#VALUE!</v>
      </c>
      <c r="EK15" s="21" t="e">
        <f ca="1">IF($C15&gt;EK$4,SUMIFS([1]销售表!$J:$J,[1]销售表!$I:$I,$A15,[1]销售表!$B:$B,EK$4),($L15-SUM($P15:EJ15))*100%/(180-EJ$4))</f>
        <v>#VALUE!</v>
      </c>
      <c r="EL15" s="21" t="e">
        <f ca="1">IF($C15&gt;EL$4,SUMIFS([1]销售表!$J:$J,[1]销售表!$I:$I,$A15,[1]销售表!$B:$B,EL$4),($L15-SUM($P15:EK15))*100%/(180-EK$4))</f>
        <v>#VALUE!</v>
      </c>
      <c r="EM15" s="21" t="e">
        <f ca="1">IF($C15&gt;EM$4,SUMIFS([1]销售表!$J:$J,[1]销售表!$I:$I,$A15,[1]销售表!$B:$B,EM$4),($L15-SUM($P15:EL15))*100%/(180-EL$4))</f>
        <v>#VALUE!</v>
      </c>
      <c r="EN15" s="21" t="e">
        <f ca="1">IF($C15&gt;EN$4,SUMIFS([1]销售表!$J:$J,[1]销售表!$I:$I,$A15,[1]销售表!$B:$B,EN$4),($L15-SUM($P15:EM15))*100%/(180-EM$4))</f>
        <v>#VALUE!</v>
      </c>
      <c r="EO15" s="21" t="e">
        <f ca="1">IF($C15&gt;EO$4,SUMIFS([1]销售表!$J:$J,[1]销售表!$I:$I,$A15,[1]销售表!$B:$B,EO$4),($L15-SUM($P15:EN15))*100%/(180-EN$4))</f>
        <v>#VALUE!</v>
      </c>
      <c r="EP15" s="21" t="e">
        <f ca="1">IF($C15&gt;EP$4,SUMIFS([1]销售表!$J:$J,[1]销售表!$I:$I,$A15,[1]销售表!$B:$B,EP$4),($L15-SUM($P15:EO15))*100%/(180-EO$4))</f>
        <v>#VALUE!</v>
      </c>
      <c r="EQ15" s="21" t="e">
        <f ca="1">IF($C15&gt;EQ$4,SUMIFS([1]销售表!$J:$J,[1]销售表!$I:$I,$A15,[1]销售表!$B:$B,EQ$4),($L15-SUM($P15:EP15))*100%/(180-EP$4))</f>
        <v>#VALUE!</v>
      </c>
      <c r="ER15" s="21" t="e">
        <f ca="1">IF($C15&gt;ER$4,SUMIFS([1]销售表!$J:$J,[1]销售表!$I:$I,$A15,[1]销售表!$B:$B,ER$4),($L15-SUM($P15:EQ15))*100%/(180-EQ$4))</f>
        <v>#VALUE!</v>
      </c>
      <c r="ES15" s="21" t="e">
        <f ca="1">IF($C15&gt;ES$4,SUMIFS([1]销售表!$J:$J,[1]销售表!$I:$I,$A15,[1]销售表!$B:$B,ES$4),($L15-SUM($P15:ER15))*100%/(180-ER$4))</f>
        <v>#VALUE!</v>
      </c>
      <c r="ET15" s="21" t="e">
        <f ca="1">IF($C15&gt;ET$4,SUMIFS([1]销售表!$J:$J,[1]销售表!$I:$I,$A15,[1]销售表!$B:$B,ET$4),($L15-SUM($P15:ES15))*100%/(180-ES$4))</f>
        <v>#VALUE!</v>
      </c>
      <c r="EU15" s="21" t="e">
        <f ca="1">IF($C15&gt;EU$4,SUMIFS([1]销售表!$J:$J,[1]销售表!$I:$I,$A15,[1]销售表!$B:$B,EU$4),($L15-SUM($P15:ET15))*100%/(180-ET$4))</f>
        <v>#VALUE!</v>
      </c>
      <c r="EV15" s="21" t="e">
        <f ca="1">IF($C15&gt;EV$4,SUMIFS([1]销售表!$J:$J,[1]销售表!$I:$I,$A15,[1]销售表!$B:$B,EV$4),($L15-SUM($P15:EU15))*100%/(180-EU$4))</f>
        <v>#VALUE!</v>
      </c>
      <c r="EW15" s="21" t="e">
        <f ca="1">IF($C15&gt;EW$4,SUMIFS([1]销售表!$J:$J,[1]销售表!$I:$I,$A15,[1]销售表!$B:$B,EW$4),($L15-SUM($P15:EV15))*100%/(180-EV$4))</f>
        <v>#VALUE!</v>
      </c>
      <c r="EX15" s="21" t="e">
        <f ca="1">IF($C15&gt;EX$4,SUMIFS([1]销售表!$J:$J,[1]销售表!$I:$I,$A15,[1]销售表!$B:$B,EX$4),($L15-SUM($P15:EW15))*100%/(180-EW$4))</f>
        <v>#VALUE!</v>
      </c>
      <c r="EY15" s="21" t="e">
        <f ca="1">IF($C15&gt;EY$4,SUMIFS([1]销售表!$J:$J,[1]销售表!$I:$I,$A15,[1]销售表!$B:$B,EY$4),($L15-SUM($P15:EX15))*100%/(180-EX$4))</f>
        <v>#VALUE!</v>
      </c>
      <c r="EZ15" s="21" t="e">
        <f ca="1">IF($C15&gt;EZ$4,SUMIFS([1]销售表!$J:$J,[1]销售表!$I:$I,$A15,[1]销售表!$B:$B,EZ$4),($L15-SUM($P15:EY15))*100%/(180-EY$4))</f>
        <v>#VALUE!</v>
      </c>
      <c r="FA15" s="21" t="e">
        <f ca="1">IF($C15&gt;FA$4,SUMIFS([1]销售表!$J:$J,[1]销售表!$I:$I,$A15,[1]销售表!$B:$B,FA$4),($L15-SUM($P15:EZ15))*100%/(180-EZ$4))</f>
        <v>#VALUE!</v>
      </c>
      <c r="FB15" s="21" t="e">
        <f ca="1">IF($C15&gt;FB$4,SUMIFS([1]销售表!$J:$J,[1]销售表!$I:$I,$A15,[1]销售表!$B:$B,FB$4),($L15-SUM($P15:FA15))*100%/(180-FA$4))</f>
        <v>#VALUE!</v>
      </c>
      <c r="FC15" s="21" t="e">
        <f ca="1">IF($C15&gt;FC$4,SUMIFS([1]销售表!$J:$J,[1]销售表!$I:$I,$A15,[1]销售表!$B:$B,FC$4),($L15-SUM($P15:FB15))*100%/(180-FB$4))</f>
        <v>#VALUE!</v>
      </c>
      <c r="FD15" s="21" t="e">
        <f ca="1">IF($C15&gt;FD$4,SUMIFS([1]销售表!$J:$J,[1]销售表!$I:$I,$A15,[1]销售表!$B:$B,FD$4),($L15-SUM($P15:FC15))*100%/(180-FC$4))</f>
        <v>#VALUE!</v>
      </c>
      <c r="FE15" s="21" t="e">
        <f ca="1">IF($C15&gt;FE$4,SUMIFS([1]销售表!$J:$J,[1]销售表!$I:$I,$A15,[1]销售表!$B:$B,FE$4),($L15-SUM($P15:FD15))*100%/(180-FD$4))</f>
        <v>#VALUE!</v>
      </c>
      <c r="FF15" s="21" t="e">
        <f ca="1">IF($C15&gt;FF$4,SUMIFS([1]销售表!$J:$J,[1]销售表!$I:$I,$A15,[1]销售表!$B:$B,FF$4),($L15-SUM($P15:FE15))*100%/(180-FE$4))</f>
        <v>#VALUE!</v>
      </c>
      <c r="FG15" s="21" t="e">
        <f ca="1">IF($C15&gt;FG$4,SUMIFS([1]销售表!$J:$J,[1]销售表!$I:$I,$A15,[1]销售表!$B:$B,FG$4),($L15-SUM($P15:FF15))*100%/(180-FF$4))</f>
        <v>#VALUE!</v>
      </c>
      <c r="FH15" s="21" t="e">
        <f ca="1">IF($C15&gt;FH$4,SUMIFS([1]销售表!$J:$J,[1]销售表!$I:$I,$A15,[1]销售表!$B:$B,FH$4),($L15-SUM($P15:FG15))*100%/(180-FG$4))</f>
        <v>#VALUE!</v>
      </c>
      <c r="FI15" s="21" t="e">
        <f ca="1">IF($C15&gt;FI$4,SUMIFS([1]销售表!$J:$J,[1]销售表!$I:$I,$A15,[1]销售表!$B:$B,FI$4),($L15-SUM($P15:FH15))*100%/(180-FH$4))</f>
        <v>#VALUE!</v>
      </c>
      <c r="FJ15" s="21" t="e">
        <f ca="1">IF($C15&gt;FJ$4,SUMIFS([1]销售表!$J:$J,[1]销售表!$I:$I,$A15,[1]销售表!$B:$B,FJ$4),($L15-SUM($P15:FI15))*100%/(180-FI$4))</f>
        <v>#VALUE!</v>
      </c>
      <c r="FK15" s="21" t="e">
        <f ca="1">IF($C15&gt;FK$4,SUMIFS([1]销售表!$J:$J,[1]销售表!$I:$I,$A15,[1]销售表!$B:$B,FK$4),($L15-SUM($P15:FJ15))*100%/(180-FJ$4))</f>
        <v>#VALUE!</v>
      </c>
      <c r="FL15" s="21" t="e">
        <f ca="1">IF($C15&gt;FL$4,SUMIFS([1]销售表!$J:$J,[1]销售表!$I:$I,$A15,[1]销售表!$B:$B,FL$4),($L15-SUM($P15:FK15))*100%/(180-FK$4))</f>
        <v>#VALUE!</v>
      </c>
      <c r="FM15" s="21" t="e">
        <f ca="1">IF($C15&gt;FM$4,SUMIFS([1]销售表!$J:$J,[1]销售表!$I:$I,$A15,[1]销售表!$B:$B,FM$4),($L15-SUM($P15:FL15))*100%/(180-FL$4))</f>
        <v>#VALUE!</v>
      </c>
      <c r="FN15" s="21" t="e">
        <f ca="1">IF($C15&gt;FN$4,SUMIFS([1]销售表!$J:$J,[1]销售表!$I:$I,$A15,[1]销售表!$B:$B,FN$4),($L15-SUM($P15:FM15))*100%/(180-FM$4))</f>
        <v>#VALUE!</v>
      </c>
      <c r="FO15" s="21" t="e">
        <f ca="1">IF($C15&gt;FO$4,SUMIFS([1]销售表!$J:$J,[1]销售表!$I:$I,$A15,[1]销售表!$B:$B,FO$4),($L15-SUM($P15:FN15))*100%/(180-FN$4))</f>
        <v>#VALUE!</v>
      </c>
      <c r="FP15" s="21" t="e">
        <f ca="1">IF($C15&gt;FP$4,SUMIFS([1]销售表!$J:$J,[1]销售表!$I:$I,$A15,[1]销售表!$B:$B,FP$4),($L15-SUM($P15:FO15))*100%/(180-FO$4))</f>
        <v>#VALUE!</v>
      </c>
      <c r="FQ15" s="21" t="e">
        <f ca="1">IF($C15&gt;FQ$4,SUMIFS([1]销售表!$J:$J,[1]销售表!$I:$I,$A15,[1]销售表!$B:$B,FQ$4),($L15-SUM($P15:FP15))*100%/(180-FP$4))</f>
        <v>#VALUE!</v>
      </c>
      <c r="FR15" s="21" t="e">
        <f ca="1">IF($C15&gt;FR$4,SUMIFS([1]销售表!$J:$J,[1]销售表!$I:$I,$A15,[1]销售表!$B:$B,FR$4),($L15-SUM($P15:FQ15))*100%/(180-FQ$4))</f>
        <v>#VALUE!</v>
      </c>
      <c r="FS15" s="21" t="e">
        <f ca="1">IF($C15&gt;FS$4,SUMIFS([1]销售表!$J:$J,[1]销售表!$I:$I,$A15,[1]销售表!$B:$B,FS$4),($L15-SUM($P15:FR15))*100%/(180-FR$4))</f>
        <v>#VALUE!</v>
      </c>
      <c r="FT15" s="21" t="e">
        <f ca="1">IF($C15&gt;FT$4,SUMIFS([1]销售表!$J:$J,[1]销售表!$I:$I,$A15,[1]销售表!$B:$B,FT$4),($L15-SUM($P15:FS15))*100%/(180-FS$4))</f>
        <v>#VALUE!</v>
      </c>
      <c r="FU15" s="21" t="e">
        <f ca="1">IF($C15&gt;FU$4,SUMIFS([1]销售表!$J:$J,[1]销售表!$I:$I,$A15,[1]销售表!$B:$B,FU$4),($L15-SUM($P15:FT15))*100%/(180-FT$4))</f>
        <v>#VALUE!</v>
      </c>
      <c r="FV15" s="21" t="e">
        <f ca="1">IF($C15&gt;FV$4,SUMIFS([1]销售表!$J:$J,[1]销售表!$I:$I,$A15,[1]销售表!$B:$B,FV$4),($L15-SUM($P15:FU15))*100%/(180-FU$4))</f>
        <v>#VALUE!</v>
      </c>
      <c r="FW15" s="21" t="e">
        <f ca="1">IF($C15&gt;FW$4,SUMIFS([1]销售表!$J:$J,[1]销售表!$I:$I,$A15,[1]销售表!$B:$B,FW$4),($L15-SUM($P15:FV15))*100%/(180-FV$4))</f>
        <v>#VALUE!</v>
      </c>
      <c r="FX15" s="21" t="e">
        <f ca="1">IF($C15&gt;FX$4,SUMIFS([1]销售表!$J:$J,[1]销售表!$I:$I,$A15,[1]销售表!$B:$B,FX$4),($L15-SUM($P15:FW15))*100%/(180-FW$4))</f>
        <v>#VALUE!</v>
      </c>
      <c r="FY15" s="21" t="e">
        <f ca="1">IF($C15&gt;FY$4,SUMIFS([1]销售表!$J:$J,[1]销售表!$I:$I,$A15,[1]销售表!$B:$B,FY$4),($L15-SUM($P15:FX15))*100%/(180-FX$4))</f>
        <v>#VALUE!</v>
      </c>
      <c r="FZ15" s="21" t="e">
        <f ca="1">IF($C15&gt;FZ$4,SUMIFS([1]销售表!$J:$J,[1]销售表!$I:$I,$A15,[1]销售表!$B:$B,FZ$4),($L15-SUM($P15:FY15))*100%/(180-FY$4))</f>
        <v>#VALUE!</v>
      </c>
      <c r="GA15" s="21" t="e">
        <f ca="1">IF($C15&gt;GA$4,SUMIFS([1]销售表!$J:$J,[1]销售表!$I:$I,$A15,[1]销售表!$B:$B,GA$4),($L15-SUM($P15:FZ15))*100%/(180-FZ$4))</f>
        <v>#VALUE!</v>
      </c>
      <c r="GB15" s="21" t="e">
        <f ca="1">IF($C15&gt;GB$4,SUMIFS([1]销售表!$J:$J,[1]销售表!$I:$I,$A15,[1]销售表!$B:$B,GB$4),($L15-SUM($P15:GA15))*100%/(180-GA$4))</f>
        <v>#VALUE!</v>
      </c>
      <c r="GC15" s="21" t="e">
        <f ca="1">IF($C15&gt;GC$4,SUMIFS([1]销售表!$J:$J,[1]销售表!$I:$I,$A15,[1]销售表!$B:$B,GC$4),($L15-SUM($P15:GB15))*100%/(180-GB$4))</f>
        <v>#VALUE!</v>
      </c>
      <c r="GD15" s="21" t="e">
        <f ca="1">IF($C15&gt;GD$4,SUMIFS([1]销售表!$J:$J,[1]销售表!$I:$I,$A15,[1]销售表!$B:$B,GD$4),($L15-SUM($P15:GC15))*100%/(180-GC$4))</f>
        <v>#VALUE!</v>
      </c>
      <c r="GE15" s="21" t="e">
        <f ca="1">IF($C15&gt;GE$4,SUMIFS([1]销售表!$J:$J,[1]销售表!$I:$I,$A15,[1]销售表!$B:$B,GE$4),($L15-SUM($P15:GD15))*100%/(180-GD$4))</f>
        <v>#VALUE!</v>
      </c>
      <c r="GF15" s="21" t="e">
        <f ca="1">IF($C15&gt;GF$4,SUMIFS([1]销售表!$J:$J,[1]销售表!$I:$I,$A15,[1]销售表!$B:$B,GF$4),($L15-SUM($P15:GE15))*100%/(180-GE$4))</f>
        <v>#VALUE!</v>
      </c>
      <c r="GG15" s="21" t="e">
        <f ca="1">IF($C15&gt;GG$4,SUMIFS([1]销售表!$J:$J,[1]销售表!$I:$I,$A15,[1]销售表!$B:$B,GG$4),($L15-SUM($P15:GF15))*100%/(180-GF$4))</f>
        <v>#VALUE!</v>
      </c>
      <c r="GH15" s="21" t="e">
        <f ca="1">IF($C15&gt;GH$4,SUMIFS([1]销售表!$J:$J,[1]销售表!$I:$I,$A15,[1]销售表!$B:$B,GH$4),($L15-SUM($P15:GG15))*100%/(180-GG$4))</f>
        <v>#VALUE!</v>
      </c>
      <c r="GI15" s="21" t="e">
        <f ca="1">IF($C15&gt;GI$4,SUMIFS([1]销售表!$J:$J,[1]销售表!$I:$I,$A15,[1]销售表!$B:$B,GI$4),($L15-SUM($P15:GH15))*100%/(180-GH$4))</f>
        <v>#VALUE!</v>
      </c>
      <c r="GJ15" s="21" t="e">
        <f ca="1">IF($C15&gt;GJ$4,SUMIFS([1]销售表!$J:$J,[1]销售表!$I:$I,$A15,[1]销售表!$B:$B,GJ$4),($L15-SUM($P15:GI15))*100%/(180-GI$4))</f>
        <v>#VALUE!</v>
      </c>
      <c r="GK15" s="21" t="e">
        <f ca="1">IF($C15&gt;GK$4,SUMIFS([1]销售表!$J:$J,[1]销售表!$I:$I,$A15,[1]销售表!$B:$B,GK$4),($L15-SUM($P15:GJ15))*100%/(180-GJ$4))</f>
        <v>#VALUE!</v>
      </c>
      <c r="GL15" s="21" t="e">
        <f ca="1">IF($C15&gt;GL$4,SUMIFS([1]销售表!$J:$J,[1]销售表!$I:$I,$A15,[1]销售表!$B:$B,GL$4),($L15-SUM($P15:GK15))*100%/(180-GK$4))</f>
        <v>#VALUE!</v>
      </c>
      <c r="GM15" s="21" t="e">
        <f ca="1">IF($C15&gt;GM$4,SUMIFS([1]销售表!$J:$J,[1]销售表!$I:$I,$A15,[1]销售表!$B:$B,GM$4),($L15-SUM($P15:GL15))*100%/(180-GL$4))</f>
        <v>#VALUE!</v>
      </c>
    </row>
    <row r="16" spans="1:195" x14ac:dyDescent="0.25">
      <c r="A16" s="8"/>
      <c r="B16" s="7"/>
      <c r="C16" s="8">
        <f t="shared" ref="C16:C18" ca="1" si="18">TODAY()-B16</f>
        <v>46198</v>
      </c>
      <c r="D16" s="8"/>
      <c r="E16" s="8">
        <f t="shared" si="16"/>
        <v>0</v>
      </c>
      <c r="F16" s="8"/>
      <c r="G16" s="8"/>
      <c r="H16" s="9" t="e">
        <f t="shared" si="17"/>
        <v>#DIV/0!</v>
      </c>
      <c r="I16" s="8"/>
      <c r="J16" s="8">
        <f>SUMIFS([1]销售表!J:J,[1]销售表!I:I,A16,[1]销售表!E:E,"可取")</f>
        <v>0</v>
      </c>
      <c r="K16" s="8"/>
      <c r="L16" s="8"/>
      <c r="M16" s="10">
        <f>_xlfn.XLOOKUP(A16,[1]销售表!I:I,[1]销售表!J:J,0,0,-1)</f>
        <v>0</v>
      </c>
      <c r="N16" s="10" t="str" cm="1">
        <f t="array" ref="N16" ca="1">IF(C16&gt;180,"0",INDEX(P16:GM16,C16))</f>
        <v>0</v>
      </c>
      <c r="O16" s="20"/>
      <c r="P16" s="21">
        <f>SUMIFS([1]销售表!J:J,[1]销售表!I:I,A16,[1]销售表!B:B,$P$4)</f>
        <v>0</v>
      </c>
      <c r="Q16" s="21" t="e">
        <f ca="1">IF($C16&gt;Q$4,SUMIFS([1]销售表!$J:$J,[1]销售表!$I:$I,$A16,[1]销售表!$B:$B,Q$4),($L16-SUM($P16))*80%/(180-P$4))</f>
        <v>#VALUE!</v>
      </c>
      <c r="R16" s="21" t="e">
        <f ca="1">IF($C16&gt;R$4,SUMIFS([1]销售表!$J:$J,[1]销售表!$I:$I,$A16,[1]销售表!$B:$B,R$4),($L16-SUM($P16:Q16))*80%/(180-Q$4))</f>
        <v>#VALUE!</v>
      </c>
      <c r="S16" s="21" t="e">
        <f ca="1">IF($C16&gt;S$4,SUMIFS([1]销售表!$J:$J,[1]销售表!$I:$I,$A16,[1]销售表!$B:$B,S$4),($L16-SUM($P16:R16))*80%/(180-R$4))</f>
        <v>#VALUE!</v>
      </c>
      <c r="T16" s="21" t="e">
        <f ca="1">IF($C16&gt;T$4,SUMIFS([1]销售表!$J:$J,[1]销售表!$I:$I,$A16,[1]销售表!$B:$B,T$4),($L16-SUM($P16:S16))*80%/(180-S$4))</f>
        <v>#VALUE!</v>
      </c>
      <c r="U16" s="21" t="e">
        <f ca="1">IF($C16&gt;U$4,SUMIFS([1]销售表!$J:$J,[1]销售表!$I:$I,$A16,[1]销售表!$B:$B,U$4),($L16-SUM($P16:T16))*80%/(180-T$4))</f>
        <v>#VALUE!</v>
      </c>
      <c r="V16" s="21" t="e">
        <f ca="1">IF($C16&gt;V$4,SUMIFS([1]销售表!$J:$J,[1]销售表!$I:$I,$A16,[1]销售表!$B:$B,V$4),($L16-SUM($P16:U16))*80%/(180-U$4))</f>
        <v>#VALUE!</v>
      </c>
      <c r="W16" s="21" t="e">
        <f ca="1">IF($C16&gt;W$4,SUMIFS([1]销售表!$J:$J,[1]销售表!$I:$I,$A16,[1]销售表!$B:$B,W$4),($L16-SUM($P16:V16))*80%/(180-V$4))</f>
        <v>#VALUE!</v>
      </c>
      <c r="X16" s="21" t="e">
        <f ca="1">IF($C16&gt;X$4,SUMIFS([1]销售表!$J:$J,[1]销售表!$I:$I,$A16,[1]销售表!$B:$B,X$4),($L16-SUM($P16:W16))*80%/(180-W$4))</f>
        <v>#VALUE!</v>
      </c>
      <c r="Y16" s="21" t="e">
        <f ca="1">IF($C16&gt;Y$4,SUMIFS([1]销售表!$J:$J,[1]销售表!$I:$I,$A16,[1]销售表!$B:$B,Y$4),($L16-SUM($P16:X16))*80%/(180-X$4))</f>
        <v>#VALUE!</v>
      </c>
      <c r="Z16" s="21" t="e">
        <f ca="1">IF($C16&gt;Z$4,SUMIFS([1]销售表!$J:$J,[1]销售表!$I:$I,$A16,[1]销售表!$B:$B,Z$4),($L16-SUM($P16:Y16))*80%/(180-Y$4))</f>
        <v>#VALUE!</v>
      </c>
      <c r="AA16" s="21" t="e">
        <f ca="1">IF($C16&gt;AA$4,SUMIFS([1]销售表!$J:$J,[1]销售表!$I:$I,$A16,[1]销售表!$B:$B,AA$4),($L16-SUM($P16:Z16))*80%/(180-Z$4))</f>
        <v>#VALUE!</v>
      </c>
      <c r="AB16" s="21" t="e">
        <f ca="1">IF($C16&gt;AB$4,SUMIFS([1]销售表!$J:$J,[1]销售表!$I:$I,$A16,[1]销售表!$B:$B,AB$4),($L16-SUM($P16:AA16))*80%/(180-AA$4))</f>
        <v>#VALUE!</v>
      </c>
      <c r="AC16" s="21" t="e">
        <f ca="1">IF($C16&gt;AC$4,SUMIFS([1]销售表!$J:$J,[1]销售表!$I:$I,$A16,[1]销售表!$B:$B,AC$4),($L16-SUM($P16:AB16))*80%/(180-AB$4))</f>
        <v>#VALUE!</v>
      </c>
      <c r="AD16" s="21" t="e">
        <f ca="1">IF($C16&gt;AD$4,SUMIFS([1]销售表!$J:$J,[1]销售表!$I:$I,$A16,[1]销售表!$B:$B,AD$4),($L16-SUM($P16:AC16))*80%/(180-AC$4))</f>
        <v>#VALUE!</v>
      </c>
      <c r="AE16" s="21" t="e">
        <f ca="1">IF($C16&gt;AE$4,SUMIFS([1]销售表!$J:$J,[1]销售表!$I:$I,$A16,[1]销售表!$B:$B,AE$4),($L16-SUM($P16:AD16))*80%/(180-AD$4))</f>
        <v>#VALUE!</v>
      </c>
      <c r="AF16" s="21" t="e">
        <f ca="1">IF($C16&gt;AF$4,SUMIFS([1]销售表!$J:$J,[1]销售表!$I:$I,$A16,[1]销售表!$B:$B,AF$4),($L16-SUM($P16:AE16))*80%/(180-AE$4))</f>
        <v>#VALUE!</v>
      </c>
      <c r="AG16" s="21" t="e">
        <f ca="1">IF($C16&gt;AG$4,SUMIFS([1]销售表!$J:$J,[1]销售表!$I:$I,$A16,[1]销售表!$B:$B,AG$4),($L16-SUM($P16:AF16))*80%/(180-AF$4))</f>
        <v>#VALUE!</v>
      </c>
      <c r="AH16" s="21" t="e">
        <f ca="1">IF($C16&gt;AH$4,SUMIFS([1]销售表!$J:$J,[1]销售表!$I:$I,$A16,[1]销售表!$B:$B,AH$4),($L16-SUM($P16:AG16))*80%/(180-AG$4))</f>
        <v>#VALUE!</v>
      </c>
      <c r="AI16" s="21" t="e">
        <f ca="1">IF($C16&gt;AI$4,SUMIFS([1]销售表!$J:$J,[1]销售表!$I:$I,$A16,[1]销售表!$B:$B,AI$4),($L16-SUM($P16:AH16))*80%/(180-AH$4))</f>
        <v>#VALUE!</v>
      </c>
      <c r="AJ16" s="21" t="e">
        <f ca="1">IF($C16&gt;AJ$4,SUMIFS([1]销售表!$J:$J,[1]销售表!$I:$I,$A16,[1]销售表!$B:$B,AJ$4),($L16-SUM($P16:AI16))*80%/(180-AI$4))</f>
        <v>#VALUE!</v>
      </c>
      <c r="AK16" s="21" t="e">
        <f ca="1">IF($C16&gt;AK$4,SUMIFS([1]销售表!$J:$J,[1]销售表!$I:$I,$A16,[1]销售表!$B:$B,AK$4),($L16-SUM($P16:AJ16))*80%/(180-AJ$4))</f>
        <v>#VALUE!</v>
      </c>
      <c r="AL16" s="21" t="e">
        <f ca="1">IF($C16&gt;AL$4,SUMIFS([1]销售表!$J:$J,[1]销售表!$I:$I,$A16,[1]销售表!$B:$B,AL$4),($L16-SUM($P16:AK16))*80%/(180-AK$4))</f>
        <v>#VALUE!</v>
      </c>
      <c r="AM16" s="21" t="e">
        <f ca="1">IF($C16&gt;AM$4,SUMIFS([1]销售表!$J:$J,[1]销售表!$I:$I,$A16,[1]销售表!$B:$B,AM$4),($L16-SUM($P16:AL16))*80%/(180-AL$4))</f>
        <v>#VALUE!</v>
      </c>
      <c r="AN16" s="21" t="e">
        <f ca="1">IF($C16&gt;AN$4,SUMIFS([1]销售表!$J:$J,[1]销售表!$I:$I,$A16,[1]销售表!$B:$B,AN$4),($L16-SUM($P16:AM16))*80%/(180-AM$4))</f>
        <v>#VALUE!</v>
      </c>
      <c r="AO16" s="21" t="e">
        <f ca="1">IF($C16&gt;AO$4,SUMIFS([1]销售表!$J:$J,[1]销售表!$I:$I,$A16,[1]销售表!$B:$B,AO$4),($L16-SUM($P16:AN16))*80%/(180-AN$4))</f>
        <v>#VALUE!</v>
      </c>
      <c r="AP16" s="21" t="e">
        <f ca="1">IF($C16&gt;AP$4,SUMIFS([1]销售表!$J:$J,[1]销售表!$I:$I,$A16,[1]销售表!$B:$B,AP$4),($L16-SUM($P16:AO16))*80%/(180-AO$4))</f>
        <v>#VALUE!</v>
      </c>
      <c r="AQ16" s="21" t="e">
        <f ca="1">IF($C16&gt;AQ$4,SUMIFS([1]销售表!$J:$J,[1]销售表!$I:$I,$A16,[1]销售表!$B:$B,AQ$4),($L16-SUM($P16:AP16))*80%/(180-AP$4))</f>
        <v>#VALUE!</v>
      </c>
      <c r="AR16" s="21" t="e">
        <f ca="1">IF($C16&gt;AR$4,SUMIFS([1]销售表!$J:$J,[1]销售表!$I:$I,$A16,[1]销售表!$B:$B,AR$4),($L16-SUM($P16:AQ16))*80%/(180-AQ$4))</f>
        <v>#VALUE!</v>
      </c>
      <c r="AS16" s="21" t="e">
        <f ca="1">IF($C16&gt;AS$4,SUMIFS([1]销售表!$J:$J,[1]销售表!$I:$I,$A16,[1]销售表!$B:$B,AS$4),($L16-SUM($P16:AR16))*80%/(180-AR$4))</f>
        <v>#VALUE!</v>
      </c>
      <c r="AT16" s="21" t="e">
        <f ca="1">IF($C16&gt;AT$4,SUMIFS([1]销售表!$J:$J,[1]销售表!$I:$I,$A16,[1]销售表!$B:$B,AT$4),($L16-SUM($P16:AS16))*110%/(180-AS$4))</f>
        <v>#VALUE!</v>
      </c>
      <c r="AU16" s="21" t="e">
        <f ca="1">IF($C16&gt;AU$4,SUMIFS([1]销售表!$J:$J,[1]销售表!$I:$I,$A16,[1]销售表!$B:$B,AU$4),($L16-SUM($P16:AT16))*110%/(180-AT$4))</f>
        <v>#VALUE!</v>
      </c>
      <c r="AV16" s="21" t="e">
        <f ca="1">IF($C16&gt;AV$4,SUMIFS([1]销售表!$J:$J,[1]销售表!$I:$I,$A16,[1]销售表!$B:$B,AV$4),($L16-SUM($P16:AU16))*110%/(180-AU$4))</f>
        <v>#VALUE!</v>
      </c>
      <c r="AW16" s="21" t="e">
        <f ca="1">IF($C16&gt;AW$4,SUMIFS([1]销售表!$J:$J,[1]销售表!$I:$I,$A16,[1]销售表!$B:$B,AW$4),($L16-SUM($P16:AV16))*110%/(180-AV$4))</f>
        <v>#VALUE!</v>
      </c>
      <c r="AX16" s="21" t="e">
        <f ca="1">IF($C16&gt;AX$4,SUMIFS([1]销售表!$J:$J,[1]销售表!$I:$I,$A16,[1]销售表!$B:$B,AX$4),($L16-SUM($P16:AW16))*110%/(180-AW$4))</f>
        <v>#VALUE!</v>
      </c>
      <c r="AY16" s="21" t="e">
        <f ca="1">IF($C16&gt;AY$4,SUMIFS([1]销售表!$J:$J,[1]销售表!$I:$I,$A16,[1]销售表!$B:$B,AY$4),($L16-SUM($P16:AX16))*110%/(180-AX$4))</f>
        <v>#VALUE!</v>
      </c>
      <c r="AZ16" s="21" t="e">
        <f ca="1">IF($C16&gt;AZ$4,SUMIFS([1]销售表!$J:$J,[1]销售表!$I:$I,$A16,[1]销售表!$B:$B,AZ$4),($L16-SUM($P16:AY16))*110%/(180-AY$4))</f>
        <v>#VALUE!</v>
      </c>
      <c r="BA16" s="21" t="e">
        <f ca="1">IF($C16&gt;BA$4,SUMIFS([1]销售表!$J:$J,[1]销售表!$I:$I,$A16,[1]销售表!$B:$B,BA$4),($L16-SUM($P16:AZ16))*110%/(180-AZ$4))</f>
        <v>#VALUE!</v>
      </c>
      <c r="BB16" s="21" t="e">
        <f ca="1">IF($C16&gt;BB$4,SUMIFS([1]销售表!$J:$J,[1]销售表!$I:$I,$A16,[1]销售表!$B:$B,BB$4),($L16-SUM($P16:BA16))*110%/(180-BA$4))</f>
        <v>#VALUE!</v>
      </c>
      <c r="BC16" s="21" t="e">
        <f ca="1">IF($C16&gt;BC$4,SUMIFS([1]销售表!$J:$J,[1]销售表!$I:$I,$A16,[1]销售表!$B:$B,BC$4),($L16-SUM($P16:BB16))*110%/(180-BB$4))</f>
        <v>#VALUE!</v>
      </c>
      <c r="BD16" s="21" t="e">
        <f ca="1">IF($C16&gt;BD$4,SUMIFS([1]销售表!$J:$J,[1]销售表!$I:$I,$A16,[1]销售表!$B:$B,BD$4),($L16-SUM($P16:BC16))*110%/(180-BC$4))</f>
        <v>#VALUE!</v>
      </c>
      <c r="BE16" s="21" t="e">
        <f ca="1">IF($C16&gt;BE$4,SUMIFS([1]销售表!$J:$J,[1]销售表!$I:$I,$A16,[1]销售表!$B:$B,BE$4),($L16-SUM($P16:BD16))*110%/(180-BD$4))</f>
        <v>#VALUE!</v>
      </c>
      <c r="BF16" s="21" t="e">
        <f ca="1">IF($C16&gt;BF$4,SUMIFS([1]销售表!$J:$J,[1]销售表!$I:$I,$A16,[1]销售表!$B:$B,BF$4),($L16-SUM($P16:BE16))*110%/(180-BE$4))</f>
        <v>#VALUE!</v>
      </c>
      <c r="BG16" s="21" t="e">
        <f ca="1">IF($C16&gt;BG$4,SUMIFS([1]销售表!$J:$J,[1]销售表!$I:$I,$A16,[1]销售表!$B:$B,BG$4),($L16-SUM($P16:BF16))*110%/(180-BF$4))</f>
        <v>#VALUE!</v>
      </c>
      <c r="BH16" s="21" t="e">
        <f ca="1">IF($C16&gt;BH$4,SUMIFS([1]销售表!$J:$J,[1]销售表!$I:$I,$A16,[1]销售表!$B:$B,BH$4),($L16-SUM($P16:BG16))*110%/(180-BG$4))</f>
        <v>#VALUE!</v>
      </c>
      <c r="BI16" s="21" t="e">
        <f ca="1">IF($C16&gt;BI$4,SUMIFS([1]销售表!$J:$J,[1]销售表!$I:$I,$A16,[1]销售表!$B:$B,BI$4),($L16-SUM($P16:BH16))*110%/(180-BH$4))</f>
        <v>#VALUE!</v>
      </c>
      <c r="BJ16" s="21" t="e">
        <f ca="1">IF($C16&gt;BJ$4,SUMIFS([1]销售表!$J:$J,[1]销售表!$I:$I,$A16,[1]销售表!$B:$B,BJ$4),($L16-SUM($P16:BI16))*110%/(180-BI$4))</f>
        <v>#VALUE!</v>
      </c>
      <c r="BK16" s="21" t="e">
        <f ca="1">IF($C16&gt;BK$4,SUMIFS([1]销售表!$J:$J,[1]销售表!$I:$I,$A16,[1]销售表!$B:$B,BK$4),($L16-SUM($P16:BJ16))*110%/(180-BJ$4))</f>
        <v>#VALUE!</v>
      </c>
      <c r="BL16" s="21" t="e">
        <f ca="1">IF($C16&gt;BL$4,SUMIFS([1]销售表!$J:$J,[1]销售表!$I:$I,$A16,[1]销售表!$B:$B,BL$4),($L16-SUM($P16:BK16))*110%/(180-BK$4))</f>
        <v>#VALUE!</v>
      </c>
      <c r="BM16" s="21" t="e">
        <f ca="1">IF($C16&gt;BM$4,SUMIFS([1]销售表!$J:$J,[1]销售表!$I:$I,$A16,[1]销售表!$B:$B,BM$4),($L16-SUM($P16:BL16))*110%/(180-BL$4))</f>
        <v>#VALUE!</v>
      </c>
      <c r="BN16" s="21" t="e">
        <f ca="1">IF($C16&gt;BN$4,SUMIFS([1]销售表!$J:$J,[1]销售表!$I:$I,$A16,[1]销售表!$B:$B,BN$4),($L16-SUM($P16:BM16))*110%/(180-BM$4))</f>
        <v>#VALUE!</v>
      </c>
      <c r="BO16" s="21" t="e">
        <f ca="1">IF($C16&gt;BO$4,SUMIFS([1]销售表!$J:$J,[1]销售表!$I:$I,$A16,[1]销售表!$B:$B,BO$4),($L16-SUM($P16:BN16))*110%/(180-BN$4))</f>
        <v>#VALUE!</v>
      </c>
      <c r="BP16" s="21" t="e">
        <f ca="1">IF($C16&gt;BP$4,SUMIFS([1]销售表!$J:$J,[1]销售表!$I:$I,$A16,[1]销售表!$B:$B,BP$4),($L16-SUM($P16:BO16))*110%/(180-BO$4))</f>
        <v>#VALUE!</v>
      </c>
      <c r="BQ16" s="21" t="e">
        <f ca="1">IF($C16&gt;BQ$4,SUMIFS([1]销售表!$J:$J,[1]销售表!$I:$I,$A16,[1]销售表!$B:$B,BQ$4),($L16-SUM($P16:BP16))*110%/(180-BP$4))</f>
        <v>#VALUE!</v>
      </c>
      <c r="BR16" s="21" t="e">
        <f ca="1">IF($C16&gt;BR$4,SUMIFS([1]销售表!$J:$J,[1]销售表!$I:$I,$A16,[1]销售表!$B:$B,BR$4),($L16-SUM($P16:BQ16))*110%/(180-BQ$4))</f>
        <v>#VALUE!</v>
      </c>
      <c r="BS16" s="21" t="e">
        <f ca="1">IF($C16&gt;BS$4,SUMIFS([1]销售表!$J:$J,[1]销售表!$I:$I,$A16,[1]销售表!$B:$B,BS$4),($L16-SUM($P16:BR16))*110%/(180-BR$4))</f>
        <v>#VALUE!</v>
      </c>
      <c r="BT16" s="21" t="e">
        <f ca="1">IF($C16&gt;BT$4,SUMIFS([1]销售表!$J:$J,[1]销售表!$I:$I,$A16,[1]销售表!$B:$B,BT$4),($L16-SUM($P16:BS16))*110%/(180-BS$4))</f>
        <v>#VALUE!</v>
      </c>
      <c r="BU16" s="21" t="e">
        <f ca="1">IF($C16&gt;BU$4,SUMIFS([1]销售表!$J:$J,[1]销售表!$I:$I,$A16,[1]销售表!$B:$B,BU$4),($L16-SUM($P16:BT16))*110%/(180-BT$4))</f>
        <v>#VALUE!</v>
      </c>
      <c r="BV16" s="21" t="e">
        <f ca="1">IF($C16&gt;BV$4,SUMIFS([1]销售表!$J:$J,[1]销售表!$I:$I,$A16,[1]销售表!$B:$B,BV$4),($L16-SUM($P16:BU16))*110%/(180-BU$4))</f>
        <v>#VALUE!</v>
      </c>
      <c r="BW16" s="21" t="e">
        <f ca="1">IF($C16&gt;BW$4,SUMIFS([1]销售表!$J:$J,[1]销售表!$I:$I,$A16,[1]销售表!$B:$B,BW$4),($L16-SUM($P16:BV16))*110%/(180-BV$4))</f>
        <v>#VALUE!</v>
      </c>
      <c r="BX16" s="21" t="e">
        <f ca="1">IF($C16&gt;BX$4,SUMIFS([1]销售表!$J:$J,[1]销售表!$I:$I,$A16,[1]销售表!$B:$B,BX$4),($L16-SUM($P16:BW16))*110%/(180-BW$4))</f>
        <v>#VALUE!</v>
      </c>
      <c r="BY16" s="21" t="e">
        <f ca="1">IF($C16&gt;BY$4,SUMIFS([1]销售表!$J:$J,[1]销售表!$I:$I,$A16,[1]销售表!$B:$B,BY$4),($L16-SUM($P16:BX16))*110%/(180-BX$4))</f>
        <v>#VALUE!</v>
      </c>
      <c r="BZ16" s="21" t="e">
        <f ca="1">IF($C16&gt;BZ$4,SUMIFS([1]销售表!$J:$J,[1]销售表!$I:$I,$A16,[1]销售表!$B:$B,BZ$4),($L16-SUM($P16:BY16))*110%/(180-BY$4))</f>
        <v>#VALUE!</v>
      </c>
      <c r="CA16" s="21" t="e">
        <f ca="1">IF($C16&gt;CA$4,SUMIFS([1]销售表!$J:$J,[1]销售表!$I:$I,$A16,[1]销售表!$B:$B,CA$4),($L16-SUM($P16:BZ16))*110%/(180-BZ$4))</f>
        <v>#VALUE!</v>
      </c>
      <c r="CB16" s="21" t="e">
        <f ca="1">IF($C16&gt;CB$4,SUMIFS([1]销售表!$J:$J,[1]销售表!$I:$I,$A16,[1]销售表!$B:$B,CB$4),($L16-SUM($P16:CA16))*110%/(180-CA$4))</f>
        <v>#VALUE!</v>
      </c>
      <c r="CC16" s="21" t="e">
        <f ca="1">IF($C16&gt;CC$4,SUMIFS([1]销售表!$J:$J,[1]销售表!$I:$I,$A16,[1]销售表!$B:$B,CC$4),($L16-SUM($P16:CB16))*110%/(180-CB$4))</f>
        <v>#VALUE!</v>
      </c>
      <c r="CD16" s="21" t="e">
        <f ca="1">IF($C16&gt;CD$4,SUMIFS([1]销售表!$J:$J,[1]销售表!$I:$I,$A16,[1]销售表!$B:$B,CD$4),($L16-SUM($P16:CC16))*110%/(180-CC$4))</f>
        <v>#VALUE!</v>
      </c>
      <c r="CE16" s="21" t="e">
        <f ca="1">IF($C16&gt;CE$4,SUMIFS([1]销售表!$J:$J,[1]销售表!$I:$I,$A16,[1]销售表!$B:$B,CE$4),($L16-SUM($P16:CD16))*110%/(180-CD$4))</f>
        <v>#VALUE!</v>
      </c>
      <c r="CF16" s="21" t="e">
        <f ca="1">IF($C16&gt;CF$4,SUMIFS([1]销售表!$J:$J,[1]销售表!$I:$I,$A16,[1]销售表!$B:$B,CF$4),($L16-SUM($P16:CE16))*110%/(180-CE$4))</f>
        <v>#VALUE!</v>
      </c>
      <c r="CG16" s="21" t="e">
        <f ca="1">IF($C16&gt;CG$4,SUMIFS([1]销售表!$J:$J,[1]销售表!$I:$I,$A16,[1]销售表!$B:$B,CG$4),($L16-SUM($P16:CF16))*110%/(180-CF$4))</f>
        <v>#VALUE!</v>
      </c>
      <c r="CH16" s="21" t="e">
        <f ca="1">IF($C16&gt;CH$4,SUMIFS([1]销售表!$J:$J,[1]销售表!$I:$I,$A16,[1]销售表!$B:$B,CH$4),($L16-SUM($P16:CG16))*110%/(180-CG$4))</f>
        <v>#VALUE!</v>
      </c>
      <c r="CI16" s="21" t="e">
        <f ca="1">IF($C16&gt;CI$4,SUMIFS([1]销售表!$J:$J,[1]销售表!$I:$I,$A16,[1]销售表!$B:$B,CI$4),($L16-SUM($P16:CH16))*110%/(180-CH$4))</f>
        <v>#VALUE!</v>
      </c>
      <c r="CJ16" s="21" t="e">
        <f ca="1">IF($C16&gt;CJ$4,SUMIFS([1]销售表!$J:$J,[1]销售表!$I:$I,$A16,[1]销售表!$B:$B,CJ$4),($L16-SUM($P16:CI16))*110%/(180-CI$4))</f>
        <v>#VALUE!</v>
      </c>
      <c r="CK16" s="21" t="e">
        <f ca="1">IF($C16&gt;CK$4,SUMIFS([1]销售表!$J:$J,[1]销售表!$I:$I,$A16,[1]销售表!$B:$B,CK$4),($L16-SUM($P16:CJ16))*110%/(180-CJ$4))</f>
        <v>#VALUE!</v>
      </c>
      <c r="CL16" s="21" t="e">
        <f ca="1">IF($C16&gt;CL$4,SUMIFS([1]销售表!$J:$J,[1]销售表!$I:$I,$A16,[1]销售表!$B:$B,CL$4),($L16-SUM($P16:CK16))*110%/(180-CK$4))</f>
        <v>#VALUE!</v>
      </c>
      <c r="CM16" s="21" t="e">
        <f ca="1">IF($C16&gt;CM$4,SUMIFS([1]销售表!$J:$J,[1]销售表!$I:$I,$A16,[1]销售表!$B:$B,CM$4),($L16-SUM($P16:CL16))*110%/(180-CL$4))</f>
        <v>#VALUE!</v>
      </c>
      <c r="CN16" s="21" t="e">
        <f ca="1">IF($C16&gt;CN$4,SUMIFS([1]销售表!$J:$J,[1]销售表!$I:$I,$A16,[1]销售表!$B:$B,CN$4),($L16-SUM($P16:CM16))*110%/(180-CM$4))</f>
        <v>#VALUE!</v>
      </c>
      <c r="CO16" s="21" t="e">
        <f ca="1">IF($C16&gt;CO$4,SUMIFS([1]销售表!$J:$J,[1]销售表!$I:$I,$A16,[1]销售表!$B:$B,CO$4),($L16-SUM($P16:CN16))*110%/(180-CN$4))</f>
        <v>#VALUE!</v>
      </c>
      <c r="CP16" s="21" t="e">
        <f ca="1">IF($C16&gt;CP$4,SUMIFS([1]销售表!$J:$J,[1]销售表!$I:$I,$A16,[1]销售表!$B:$B,CP$4),($L16-SUM($P16:CO16))*110%/(180-CO$4))</f>
        <v>#VALUE!</v>
      </c>
      <c r="CQ16" s="21" t="e">
        <f ca="1">IF($C16&gt;CQ$4,SUMIFS([1]销售表!$J:$J,[1]销售表!$I:$I,$A16,[1]销售表!$B:$B,CQ$4),($L16-SUM($P16:CP16))*110%/(180-CP$4))</f>
        <v>#VALUE!</v>
      </c>
      <c r="CR16" s="21" t="e">
        <f ca="1">IF($C16&gt;CR$4,SUMIFS([1]销售表!$J:$J,[1]销售表!$I:$I,$A16,[1]销售表!$B:$B,CR$4),($L16-SUM($P16:CQ16))*110%/(180-CQ$4))</f>
        <v>#VALUE!</v>
      </c>
      <c r="CS16" s="21" t="e">
        <f ca="1">IF($C16&gt;CS$4,SUMIFS([1]销售表!$J:$J,[1]销售表!$I:$I,$A16,[1]销售表!$B:$B,CS$4),($L16-SUM($P16:CR16))*110%/(180-CR$4))</f>
        <v>#VALUE!</v>
      </c>
      <c r="CT16" s="21" t="e">
        <f ca="1">IF($C16&gt;CT$4,SUMIFS([1]销售表!$J:$J,[1]销售表!$I:$I,$A16,[1]销售表!$B:$B,CT$4),($L16-SUM($P16:CS16))*110%/(180-CS$4))</f>
        <v>#VALUE!</v>
      </c>
      <c r="CU16" s="21" t="e">
        <f ca="1">IF($C16&gt;CU$4,SUMIFS([1]销售表!$J:$J,[1]销售表!$I:$I,$A16,[1]销售表!$B:$B,CU$4),($L16-SUM($P16:CT16))*110%/(180-CT$4))</f>
        <v>#VALUE!</v>
      </c>
      <c r="CV16" s="21" t="e">
        <f ca="1">IF($C16&gt;CV$4,SUMIFS([1]销售表!$J:$J,[1]销售表!$I:$I,$A16,[1]销售表!$B:$B,CV$4),($L16-SUM($P16:CU16))*110%/(180-CU$4))</f>
        <v>#VALUE!</v>
      </c>
      <c r="CW16" s="21" t="e">
        <f ca="1">IF($C16&gt;CW$4,SUMIFS([1]销售表!$J:$J,[1]销售表!$I:$I,$A16,[1]销售表!$B:$B,CW$4),($L16-SUM($P16:CV16))*110%/(180-CV$4))</f>
        <v>#VALUE!</v>
      </c>
      <c r="CX16" s="21" t="e">
        <f ca="1">IF($C16&gt;CX$4,SUMIFS([1]销售表!$J:$J,[1]销售表!$I:$I,$A16,[1]销售表!$B:$B,CX$4),($L16-SUM($P16:CW16))*110%/(180-CW$4))</f>
        <v>#VALUE!</v>
      </c>
      <c r="CY16" s="21" t="e">
        <f ca="1">IF($C16&gt;CY$4,SUMIFS([1]销售表!$J:$J,[1]销售表!$I:$I,$A16,[1]销售表!$B:$B,CY$4),($L16-SUM($P16:CX16))*110%/(180-CX$4))</f>
        <v>#VALUE!</v>
      </c>
      <c r="CZ16" s="21" t="e">
        <f ca="1">IF($C16&gt;CZ$4,SUMIFS([1]销售表!$J:$J,[1]销售表!$I:$I,$A16,[1]销售表!$B:$B,CZ$4),($L16-SUM($P16:CY16))*110%/(180-CY$4))</f>
        <v>#VALUE!</v>
      </c>
      <c r="DA16" s="21" t="e">
        <f ca="1">IF($C16&gt;DA$4,SUMIFS([1]销售表!$J:$J,[1]销售表!$I:$I,$A16,[1]销售表!$B:$B,DA$4),($L16-SUM($P16:CZ16))*110%/(180-CZ$4))</f>
        <v>#VALUE!</v>
      </c>
      <c r="DB16" s="21" t="e">
        <f ca="1">IF($C16&gt;DB$4,SUMIFS([1]销售表!$J:$J,[1]销售表!$I:$I,$A16,[1]销售表!$B:$B,DB$4),($L16-SUM($P16:DA16))*110%/(180-DA$4))</f>
        <v>#VALUE!</v>
      </c>
      <c r="DC16" s="21" t="e">
        <f ca="1">IF($C16&gt;DC$4,SUMIFS([1]销售表!$J:$J,[1]销售表!$I:$I,$A16,[1]销售表!$B:$B,DC$4),($L16-SUM($P16:DB16))*110%/(180-DB$4))</f>
        <v>#VALUE!</v>
      </c>
      <c r="DD16" s="21" t="e">
        <f ca="1">IF($C16&gt;DD$4,SUMIFS([1]销售表!$J:$J,[1]销售表!$I:$I,$A16,[1]销售表!$B:$B,DD$4),($L16-SUM($P16:DC16))*110%/(180-DC$4))</f>
        <v>#VALUE!</v>
      </c>
      <c r="DE16" s="21" t="e">
        <f ca="1">IF($C16&gt;DE$4,SUMIFS([1]销售表!$J:$J,[1]销售表!$I:$I,$A16,[1]销售表!$B:$B,DE$4),($L16-SUM($P16:DD16))*110%/(180-DD$4))</f>
        <v>#VALUE!</v>
      </c>
      <c r="DF16" s="21" t="e">
        <f ca="1">IF($C16&gt;DF$4,SUMIFS([1]销售表!$J:$J,[1]销售表!$I:$I,$A16,[1]销售表!$B:$B,DF$4),($L16-SUM($P16:DE16))*110%/(180-DE$4))</f>
        <v>#VALUE!</v>
      </c>
      <c r="DG16" s="21" t="e">
        <f ca="1">IF($C16&gt;DG$4,SUMIFS([1]销售表!$J:$J,[1]销售表!$I:$I,$A16,[1]销售表!$B:$B,DG$4),($L16-SUM($P16:DF16))*110%/(180-DF$4))</f>
        <v>#VALUE!</v>
      </c>
      <c r="DH16" s="21" t="e">
        <f ca="1">IF($C16&gt;DH$4,SUMIFS([1]销售表!$J:$J,[1]销售表!$I:$I,$A16,[1]销售表!$B:$B,DH$4),($L16-SUM($P16:DG16))*110%/(180-DG$4))</f>
        <v>#VALUE!</v>
      </c>
      <c r="DI16" s="21" t="e">
        <f ca="1">IF($C16&gt;DI$4,SUMIFS([1]销售表!$J:$J,[1]销售表!$I:$I,$A16,[1]销售表!$B:$B,DI$4),($L16-SUM($P16:DH16))*110%/(180-DH$4))</f>
        <v>#VALUE!</v>
      </c>
      <c r="DJ16" s="21" t="e">
        <f ca="1">IF($C16&gt;DJ$4,SUMIFS([1]销售表!$J:$J,[1]销售表!$I:$I,$A16,[1]销售表!$B:$B,DJ$4),($L16-SUM($P16:DI16))*110%/(180-DI$4))</f>
        <v>#VALUE!</v>
      </c>
      <c r="DK16" s="21" t="e">
        <f ca="1">IF($C16&gt;DK$4,SUMIFS([1]销售表!$J:$J,[1]销售表!$I:$I,$A16,[1]销售表!$B:$B,DK$4),($L16-SUM($P16:DJ16))*110%/(180-DJ$4))</f>
        <v>#VALUE!</v>
      </c>
      <c r="DL16" s="21" t="e">
        <f ca="1">IF($C16&gt;DL$4,SUMIFS([1]销售表!$J:$J,[1]销售表!$I:$I,$A16,[1]销售表!$B:$B,DL$4),($L16-SUM($P16:DK16))*110%/(180-DK$4))</f>
        <v>#VALUE!</v>
      </c>
      <c r="DM16" s="21" t="e">
        <f ca="1">IF($C16&gt;DM$4,SUMIFS([1]销售表!$J:$J,[1]销售表!$I:$I,$A16,[1]销售表!$B:$B,DM$4),($L16-SUM($P16:DL16))*110%/(180-DL$4))</f>
        <v>#VALUE!</v>
      </c>
      <c r="DN16" s="21" t="e">
        <f ca="1">IF($C16&gt;DN$4,SUMIFS([1]销售表!$J:$J,[1]销售表!$I:$I,$A16,[1]销售表!$B:$B,DN$4),($L16-SUM($P16:DM16))*110%/(180-DM$4))</f>
        <v>#VALUE!</v>
      </c>
      <c r="DO16" s="21" t="e">
        <f ca="1">IF($C16&gt;DO$4,SUMIFS([1]销售表!$J:$J,[1]销售表!$I:$I,$A16,[1]销售表!$B:$B,DO$4),($L16-SUM($P16:DN16))*110%/(180-DN$4))</f>
        <v>#VALUE!</v>
      </c>
      <c r="DP16" s="21" t="e">
        <f ca="1">IF($C16&gt;DP$4,SUMIFS([1]销售表!$J:$J,[1]销售表!$I:$I,$A16,[1]销售表!$B:$B,DP$4),($L16-SUM($P16:DO16))*110%/(180-DO$4))</f>
        <v>#VALUE!</v>
      </c>
      <c r="DQ16" s="21" t="e">
        <f ca="1">IF($C16&gt;DQ$4,SUMIFS([1]销售表!$J:$J,[1]销售表!$I:$I,$A16,[1]销售表!$B:$B,DQ$4),($L16-SUM($P16:DP16))*110%/(180-DP$4))</f>
        <v>#VALUE!</v>
      </c>
      <c r="DR16" s="21" t="e">
        <f ca="1">IF($C16&gt;DR$4,SUMIFS([1]销售表!$J:$J,[1]销售表!$I:$I,$A16,[1]销售表!$B:$B,DR$4),($L16-SUM($P16:DQ16))*110%/(180-DQ$4))</f>
        <v>#VALUE!</v>
      </c>
      <c r="DS16" s="21" t="e">
        <f ca="1">IF($C16&gt;DS$4,SUMIFS([1]销售表!$J:$J,[1]销售表!$I:$I,$A16,[1]销售表!$B:$B,DS$4),($L16-SUM($P16:DR16))*110%/(180-DR$4))</f>
        <v>#VALUE!</v>
      </c>
      <c r="DT16" s="21" t="e">
        <f ca="1">IF($C16&gt;DT$4,SUMIFS([1]销售表!$J:$J,[1]销售表!$I:$I,$A16,[1]销售表!$B:$B,DT$4),($L16-SUM($P16:DS16))*110%/(180-DS$4))</f>
        <v>#VALUE!</v>
      </c>
      <c r="DU16" s="21" t="e">
        <f ca="1">IF($C16&gt;DU$4,SUMIFS([1]销售表!$J:$J,[1]销售表!$I:$I,$A16,[1]销售表!$B:$B,DU$4),($L16-SUM($P16:DT16))*110%/(180-DT$4))</f>
        <v>#VALUE!</v>
      </c>
      <c r="DV16" s="21" t="e">
        <f ca="1">IF($C16&gt;DV$4,SUMIFS([1]销售表!$J:$J,[1]销售表!$I:$I,$A16,[1]销售表!$B:$B,DV$4),($L16-SUM($P16:DU16))*110%/(180-DU$4))</f>
        <v>#VALUE!</v>
      </c>
      <c r="DW16" s="21" t="e">
        <f ca="1">IF($C16&gt;DW$4,SUMIFS([1]销售表!$J:$J,[1]销售表!$I:$I,$A16,[1]销售表!$B:$B,DW$4),($L16-SUM($P16:DV16))*110%/(180-DV$4))</f>
        <v>#VALUE!</v>
      </c>
      <c r="DX16" s="21" t="e">
        <f ca="1">IF($C16&gt;DX$4,SUMIFS([1]销售表!$J:$J,[1]销售表!$I:$I,$A16,[1]销售表!$B:$B,DX$4),($L16-SUM($P16:DW16))*110%/(180-DW$4))</f>
        <v>#VALUE!</v>
      </c>
      <c r="DY16" s="21" t="e">
        <f ca="1">IF($C16&gt;DY$4,SUMIFS([1]销售表!$J:$J,[1]销售表!$I:$I,$A16,[1]销售表!$B:$B,DY$4),($L16-SUM($P16:DX16))*110%/(180-DX$4))</f>
        <v>#VALUE!</v>
      </c>
      <c r="DZ16" s="21" t="e">
        <f ca="1">IF($C16&gt;DZ$4,SUMIFS([1]销售表!$J:$J,[1]销售表!$I:$I,$A16,[1]销售表!$B:$B,DZ$4),($L16-SUM($P16:DY16))*110%/(180-DY$4))</f>
        <v>#VALUE!</v>
      </c>
      <c r="EA16" s="21" t="e">
        <f ca="1">IF($C16&gt;EA$4,SUMIFS([1]销售表!$J:$J,[1]销售表!$I:$I,$A16,[1]销售表!$B:$B,EA$4),($L16-SUM($P16:DZ16))*110%/(180-DZ$4))</f>
        <v>#VALUE!</v>
      </c>
      <c r="EB16" s="21" t="e">
        <f ca="1">IF($C16&gt;EB$4,SUMIFS([1]销售表!$J:$J,[1]销售表!$I:$I,$A16,[1]销售表!$B:$B,EB$4),($L16-SUM($P16:EA16))*110%/(180-EA$4))</f>
        <v>#VALUE!</v>
      </c>
      <c r="EC16" s="21" t="e">
        <f ca="1">IF($C16&gt;EC$4,SUMIFS([1]销售表!$J:$J,[1]销售表!$I:$I,$A16,[1]销售表!$B:$B,EC$4),($L16-SUM($P16:EB16))*110%/(180-EB$4))</f>
        <v>#VALUE!</v>
      </c>
      <c r="ED16" s="21" t="e">
        <f ca="1">IF($C16&gt;ED$4,SUMIFS([1]销售表!$J:$J,[1]销售表!$I:$I,$A16,[1]销售表!$B:$B,ED$4),($L16-SUM($P16:EC16))*110%/(180-EC$4))</f>
        <v>#VALUE!</v>
      </c>
      <c r="EE16" s="21" t="e">
        <f ca="1">IF($C16&gt;EE$4,SUMIFS([1]销售表!$J:$J,[1]销售表!$I:$I,$A16,[1]销售表!$B:$B,EE$4),($L16-SUM($P16:ED16))*110%/(180-ED$4))</f>
        <v>#VALUE!</v>
      </c>
      <c r="EF16" s="21" t="e">
        <f ca="1">IF($C16&gt;EF$4,SUMIFS([1]销售表!$J:$J,[1]销售表!$I:$I,$A16,[1]销售表!$B:$B,EF$4),($L16-SUM($P16:EE16))*100%/(180-EE$4))</f>
        <v>#VALUE!</v>
      </c>
      <c r="EG16" s="21" t="e">
        <f ca="1">IF($C16&gt;EG$4,SUMIFS([1]销售表!$J:$J,[1]销售表!$I:$I,$A16,[1]销售表!$B:$B,EG$4),($L16-SUM($P16:EF16))*100%/(180-EF$4))</f>
        <v>#VALUE!</v>
      </c>
      <c r="EH16" s="21" t="e">
        <f ca="1">IF($C16&gt;EH$4,SUMIFS([1]销售表!$J:$J,[1]销售表!$I:$I,$A16,[1]销售表!$B:$B,EH$4),($L16-SUM($P16:EG16))*100%/(180-EG$4))</f>
        <v>#VALUE!</v>
      </c>
      <c r="EI16" s="21" t="e">
        <f ca="1">IF($C16&gt;EI$4,SUMIFS([1]销售表!$J:$J,[1]销售表!$I:$I,$A16,[1]销售表!$B:$B,EI$4),($L16-SUM($P16:EH16))*100%/(180-EH$4))</f>
        <v>#VALUE!</v>
      </c>
      <c r="EJ16" s="21" t="e">
        <f ca="1">IF($C16&gt;EJ$4,SUMIFS([1]销售表!$J:$J,[1]销售表!$I:$I,$A16,[1]销售表!$B:$B,EJ$4),($L16-SUM($P16:EI16))*100%/(180-EI$4))</f>
        <v>#VALUE!</v>
      </c>
      <c r="EK16" s="21" t="e">
        <f ca="1">IF($C16&gt;EK$4,SUMIFS([1]销售表!$J:$J,[1]销售表!$I:$I,$A16,[1]销售表!$B:$B,EK$4),($L16-SUM($P16:EJ16))*100%/(180-EJ$4))</f>
        <v>#VALUE!</v>
      </c>
      <c r="EL16" s="21" t="e">
        <f ca="1">IF($C16&gt;EL$4,SUMIFS([1]销售表!$J:$J,[1]销售表!$I:$I,$A16,[1]销售表!$B:$B,EL$4),($L16-SUM($P16:EK16))*100%/(180-EK$4))</f>
        <v>#VALUE!</v>
      </c>
      <c r="EM16" s="21" t="e">
        <f ca="1">IF($C16&gt;EM$4,SUMIFS([1]销售表!$J:$J,[1]销售表!$I:$I,$A16,[1]销售表!$B:$B,EM$4),($L16-SUM($P16:EL16))*100%/(180-EL$4))</f>
        <v>#VALUE!</v>
      </c>
      <c r="EN16" s="21" t="e">
        <f ca="1">IF($C16&gt;EN$4,SUMIFS([1]销售表!$J:$J,[1]销售表!$I:$I,$A16,[1]销售表!$B:$B,EN$4),($L16-SUM($P16:EM16))*100%/(180-EM$4))</f>
        <v>#VALUE!</v>
      </c>
      <c r="EO16" s="21" t="e">
        <f ca="1">IF($C16&gt;EO$4,SUMIFS([1]销售表!$J:$J,[1]销售表!$I:$I,$A16,[1]销售表!$B:$B,EO$4),($L16-SUM($P16:EN16))*100%/(180-EN$4))</f>
        <v>#VALUE!</v>
      </c>
      <c r="EP16" s="21" t="e">
        <f ca="1">IF($C16&gt;EP$4,SUMIFS([1]销售表!$J:$J,[1]销售表!$I:$I,$A16,[1]销售表!$B:$B,EP$4),($L16-SUM($P16:EO16))*100%/(180-EO$4))</f>
        <v>#VALUE!</v>
      </c>
      <c r="EQ16" s="21" t="e">
        <f ca="1">IF($C16&gt;EQ$4,SUMIFS([1]销售表!$J:$J,[1]销售表!$I:$I,$A16,[1]销售表!$B:$B,EQ$4),($L16-SUM($P16:EP16))*100%/(180-EP$4))</f>
        <v>#VALUE!</v>
      </c>
      <c r="ER16" s="21" t="e">
        <f ca="1">IF($C16&gt;ER$4,SUMIFS([1]销售表!$J:$J,[1]销售表!$I:$I,$A16,[1]销售表!$B:$B,ER$4),($L16-SUM($P16:EQ16))*100%/(180-EQ$4))</f>
        <v>#VALUE!</v>
      </c>
      <c r="ES16" s="21" t="e">
        <f ca="1">IF($C16&gt;ES$4,SUMIFS([1]销售表!$J:$J,[1]销售表!$I:$I,$A16,[1]销售表!$B:$B,ES$4),($L16-SUM($P16:ER16))*100%/(180-ER$4))</f>
        <v>#VALUE!</v>
      </c>
      <c r="ET16" s="21" t="e">
        <f ca="1">IF($C16&gt;ET$4,SUMIFS([1]销售表!$J:$J,[1]销售表!$I:$I,$A16,[1]销售表!$B:$B,ET$4),($L16-SUM($P16:ES16))*100%/(180-ES$4))</f>
        <v>#VALUE!</v>
      </c>
      <c r="EU16" s="21" t="e">
        <f ca="1">IF($C16&gt;EU$4,SUMIFS([1]销售表!$J:$J,[1]销售表!$I:$I,$A16,[1]销售表!$B:$B,EU$4),($L16-SUM($P16:ET16))*100%/(180-ET$4))</f>
        <v>#VALUE!</v>
      </c>
      <c r="EV16" s="21" t="e">
        <f ca="1">IF($C16&gt;EV$4,SUMIFS([1]销售表!$J:$J,[1]销售表!$I:$I,$A16,[1]销售表!$B:$B,EV$4),($L16-SUM($P16:EU16))*100%/(180-EU$4))</f>
        <v>#VALUE!</v>
      </c>
      <c r="EW16" s="21" t="e">
        <f ca="1">IF($C16&gt;EW$4,SUMIFS([1]销售表!$J:$J,[1]销售表!$I:$I,$A16,[1]销售表!$B:$B,EW$4),($L16-SUM($P16:EV16))*100%/(180-EV$4))</f>
        <v>#VALUE!</v>
      </c>
      <c r="EX16" s="21" t="e">
        <f ca="1">IF($C16&gt;EX$4,SUMIFS([1]销售表!$J:$J,[1]销售表!$I:$I,$A16,[1]销售表!$B:$B,EX$4),($L16-SUM($P16:EW16))*100%/(180-EW$4))</f>
        <v>#VALUE!</v>
      </c>
      <c r="EY16" s="21" t="e">
        <f ca="1">IF($C16&gt;EY$4,SUMIFS([1]销售表!$J:$J,[1]销售表!$I:$I,$A16,[1]销售表!$B:$B,EY$4),($L16-SUM($P16:EX16))*100%/(180-EX$4))</f>
        <v>#VALUE!</v>
      </c>
      <c r="EZ16" s="21" t="e">
        <f ca="1">IF($C16&gt;EZ$4,SUMIFS([1]销售表!$J:$J,[1]销售表!$I:$I,$A16,[1]销售表!$B:$B,EZ$4),($L16-SUM($P16:EY16))*100%/(180-EY$4))</f>
        <v>#VALUE!</v>
      </c>
      <c r="FA16" s="21" t="e">
        <f ca="1">IF($C16&gt;FA$4,SUMIFS([1]销售表!$J:$J,[1]销售表!$I:$I,$A16,[1]销售表!$B:$B,FA$4),($L16-SUM($P16:EZ16))*100%/(180-EZ$4))</f>
        <v>#VALUE!</v>
      </c>
      <c r="FB16" s="21" t="e">
        <f ca="1">IF($C16&gt;FB$4,SUMIFS([1]销售表!$J:$J,[1]销售表!$I:$I,$A16,[1]销售表!$B:$B,FB$4),($L16-SUM($P16:FA16))*100%/(180-FA$4))</f>
        <v>#VALUE!</v>
      </c>
      <c r="FC16" s="21" t="e">
        <f ca="1">IF($C16&gt;FC$4,SUMIFS([1]销售表!$J:$J,[1]销售表!$I:$I,$A16,[1]销售表!$B:$B,FC$4),($L16-SUM($P16:FB16))*100%/(180-FB$4))</f>
        <v>#VALUE!</v>
      </c>
      <c r="FD16" s="21" t="e">
        <f ca="1">IF($C16&gt;FD$4,SUMIFS([1]销售表!$J:$J,[1]销售表!$I:$I,$A16,[1]销售表!$B:$B,FD$4),($L16-SUM($P16:FC16))*100%/(180-FC$4))</f>
        <v>#VALUE!</v>
      </c>
      <c r="FE16" s="21" t="e">
        <f ca="1">IF($C16&gt;FE$4,SUMIFS([1]销售表!$J:$J,[1]销售表!$I:$I,$A16,[1]销售表!$B:$B,FE$4),($L16-SUM($P16:FD16))*100%/(180-FD$4))</f>
        <v>#VALUE!</v>
      </c>
      <c r="FF16" s="21" t="e">
        <f ca="1">IF($C16&gt;FF$4,SUMIFS([1]销售表!$J:$J,[1]销售表!$I:$I,$A16,[1]销售表!$B:$B,FF$4),($L16-SUM($P16:FE16))*100%/(180-FE$4))</f>
        <v>#VALUE!</v>
      </c>
      <c r="FG16" s="21" t="e">
        <f ca="1">IF($C16&gt;FG$4,SUMIFS([1]销售表!$J:$J,[1]销售表!$I:$I,$A16,[1]销售表!$B:$B,FG$4),($L16-SUM($P16:FF16))*100%/(180-FF$4))</f>
        <v>#VALUE!</v>
      </c>
      <c r="FH16" s="21" t="e">
        <f ca="1">IF($C16&gt;FH$4,SUMIFS([1]销售表!$J:$J,[1]销售表!$I:$I,$A16,[1]销售表!$B:$B,FH$4),($L16-SUM($P16:FG16))*100%/(180-FG$4))</f>
        <v>#VALUE!</v>
      </c>
      <c r="FI16" s="21" t="e">
        <f ca="1">IF($C16&gt;FI$4,SUMIFS([1]销售表!$J:$J,[1]销售表!$I:$I,$A16,[1]销售表!$B:$B,FI$4),($L16-SUM($P16:FH16))*100%/(180-FH$4))</f>
        <v>#VALUE!</v>
      </c>
      <c r="FJ16" s="21" t="e">
        <f ca="1">IF($C16&gt;FJ$4,SUMIFS([1]销售表!$J:$J,[1]销售表!$I:$I,$A16,[1]销售表!$B:$B,FJ$4),($L16-SUM($P16:FI16))*100%/(180-FI$4))</f>
        <v>#VALUE!</v>
      </c>
      <c r="FK16" s="21" t="e">
        <f ca="1">IF($C16&gt;FK$4,SUMIFS([1]销售表!$J:$J,[1]销售表!$I:$I,$A16,[1]销售表!$B:$B,FK$4),($L16-SUM($P16:FJ16))*100%/(180-FJ$4))</f>
        <v>#VALUE!</v>
      </c>
      <c r="FL16" s="21" t="e">
        <f ca="1">IF($C16&gt;FL$4,SUMIFS([1]销售表!$J:$J,[1]销售表!$I:$I,$A16,[1]销售表!$B:$B,FL$4),($L16-SUM($P16:FK16))*100%/(180-FK$4))</f>
        <v>#VALUE!</v>
      </c>
      <c r="FM16" s="21" t="e">
        <f ca="1">IF($C16&gt;FM$4,SUMIFS([1]销售表!$J:$J,[1]销售表!$I:$I,$A16,[1]销售表!$B:$B,FM$4),($L16-SUM($P16:FL16))*100%/(180-FL$4))</f>
        <v>#VALUE!</v>
      </c>
      <c r="FN16" s="21" t="e">
        <f ca="1">IF($C16&gt;FN$4,SUMIFS([1]销售表!$J:$J,[1]销售表!$I:$I,$A16,[1]销售表!$B:$B,FN$4),($L16-SUM($P16:FM16))*100%/(180-FM$4))</f>
        <v>#VALUE!</v>
      </c>
      <c r="FO16" s="21" t="e">
        <f ca="1">IF($C16&gt;FO$4,SUMIFS([1]销售表!$J:$J,[1]销售表!$I:$I,$A16,[1]销售表!$B:$B,FO$4),($L16-SUM($P16:FN16))*100%/(180-FN$4))</f>
        <v>#VALUE!</v>
      </c>
      <c r="FP16" s="21" t="e">
        <f ca="1">IF($C16&gt;FP$4,SUMIFS([1]销售表!$J:$J,[1]销售表!$I:$I,$A16,[1]销售表!$B:$B,FP$4),($L16-SUM($P16:FO16))*100%/(180-FO$4))</f>
        <v>#VALUE!</v>
      </c>
      <c r="FQ16" s="21" t="e">
        <f ca="1">IF($C16&gt;FQ$4,SUMIFS([1]销售表!$J:$J,[1]销售表!$I:$I,$A16,[1]销售表!$B:$B,FQ$4),($L16-SUM($P16:FP16))*100%/(180-FP$4))</f>
        <v>#VALUE!</v>
      </c>
      <c r="FR16" s="21" t="e">
        <f ca="1">IF($C16&gt;FR$4,SUMIFS([1]销售表!$J:$J,[1]销售表!$I:$I,$A16,[1]销售表!$B:$B,FR$4),($L16-SUM($P16:FQ16))*100%/(180-FQ$4))</f>
        <v>#VALUE!</v>
      </c>
      <c r="FS16" s="21" t="e">
        <f ca="1">IF($C16&gt;FS$4,SUMIFS([1]销售表!$J:$J,[1]销售表!$I:$I,$A16,[1]销售表!$B:$B,FS$4),($L16-SUM($P16:FR16))*100%/(180-FR$4))</f>
        <v>#VALUE!</v>
      </c>
      <c r="FT16" s="21" t="e">
        <f ca="1">IF($C16&gt;FT$4,SUMIFS([1]销售表!$J:$J,[1]销售表!$I:$I,$A16,[1]销售表!$B:$B,FT$4),($L16-SUM($P16:FS16))*100%/(180-FS$4))</f>
        <v>#VALUE!</v>
      </c>
      <c r="FU16" s="21" t="e">
        <f ca="1">IF($C16&gt;FU$4,SUMIFS([1]销售表!$J:$J,[1]销售表!$I:$I,$A16,[1]销售表!$B:$B,FU$4),($L16-SUM($P16:FT16))*100%/(180-FT$4))</f>
        <v>#VALUE!</v>
      </c>
      <c r="FV16" s="21" t="e">
        <f ca="1">IF($C16&gt;FV$4,SUMIFS([1]销售表!$J:$J,[1]销售表!$I:$I,$A16,[1]销售表!$B:$B,FV$4),($L16-SUM($P16:FU16))*100%/(180-FU$4))</f>
        <v>#VALUE!</v>
      </c>
      <c r="FW16" s="21" t="e">
        <f ca="1">IF($C16&gt;FW$4,SUMIFS([1]销售表!$J:$J,[1]销售表!$I:$I,$A16,[1]销售表!$B:$B,FW$4),($L16-SUM($P16:FV16))*100%/(180-FV$4))</f>
        <v>#VALUE!</v>
      </c>
      <c r="FX16" s="21" t="e">
        <f ca="1">IF($C16&gt;FX$4,SUMIFS([1]销售表!$J:$J,[1]销售表!$I:$I,$A16,[1]销售表!$B:$B,FX$4),($L16-SUM($P16:FW16))*100%/(180-FW$4))</f>
        <v>#VALUE!</v>
      </c>
      <c r="FY16" s="21" t="e">
        <f ca="1">IF($C16&gt;FY$4,SUMIFS([1]销售表!$J:$J,[1]销售表!$I:$I,$A16,[1]销售表!$B:$B,FY$4),($L16-SUM($P16:FX16))*100%/(180-FX$4))</f>
        <v>#VALUE!</v>
      </c>
      <c r="FZ16" s="21" t="e">
        <f ca="1">IF($C16&gt;FZ$4,SUMIFS([1]销售表!$J:$J,[1]销售表!$I:$I,$A16,[1]销售表!$B:$B,FZ$4),($L16-SUM($P16:FY16))*100%/(180-FY$4))</f>
        <v>#VALUE!</v>
      </c>
      <c r="GA16" s="21" t="e">
        <f ca="1">IF($C16&gt;GA$4,SUMIFS([1]销售表!$J:$J,[1]销售表!$I:$I,$A16,[1]销售表!$B:$B,GA$4),($L16-SUM($P16:FZ16))*100%/(180-FZ$4))</f>
        <v>#VALUE!</v>
      </c>
      <c r="GB16" s="21" t="e">
        <f ca="1">IF($C16&gt;GB$4,SUMIFS([1]销售表!$J:$J,[1]销售表!$I:$I,$A16,[1]销售表!$B:$B,GB$4),($L16-SUM($P16:GA16))*100%/(180-GA$4))</f>
        <v>#VALUE!</v>
      </c>
      <c r="GC16" s="21" t="e">
        <f ca="1">IF($C16&gt;GC$4,SUMIFS([1]销售表!$J:$J,[1]销售表!$I:$I,$A16,[1]销售表!$B:$B,GC$4),($L16-SUM($P16:GB16))*100%/(180-GB$4))</f>
        <v>#VALUE!</v>
      </c>
      <c r="GD16" s="21" t="e">
        <f ca="1">IF($C16&gt;GD$4,SUMIFS([1]销售表!$J:$J,[1]销售表!$I:$I,$A16,[1]销售表!$B:$B,GD$4),($L16-SUM($P16:GC16))*100%/(180-GC$4))</f>
        <v>#VALUE!</v>
      </c>
      <c r="GE16" s="21" t="e">
        <f ca="1">IF($C16&gt;GE$4,SUMIFS([1]销售表!$J:$J,[1]销售表!$I:$I,$A16,[1]销售表!$B:$B,GE$4),($L16-SUM($P16:GD16))*100%/(180-GD$4))</f>
        <v>#VALUE!</v>
      </c>
      <c r="GF16" s="21" t="e">
        <f ca="1">IF($C16&gt;GF$4,SUMIFS([1]销售表!$J:$J,[1]销售表!$I:$I,$A16,[1]销售表!$B:$B,GF$4),($L16-SUM($P16:GE16))*100%/(180-GE$4))</f>
        <v>#VALUE!</v>
      </c>
      <c r="GG16" s="21" t="e">
        <f ca="1">IF($C16&gt;GG$4,SUMIFS([1]销售表!$J:$J,[1]销售表!$I:$I,$A16,[1]销售表!$B:$B,GG$4),($L16-SUM($P16:GF16))*100%/(180-GF$4))</f>
        <v>#VALUE!</v>
      </c>
      <c r="GH16" s="21" t="e">
        <f ca="1">IF($C16&gt;GH$4,SUMIFS([1]销售表!$J:$J,[1]销售表!$I:$I,$A16,[1]销售表!$B:$B,GH$4),($L16-SUM($P16:GG16))*100%/(180-GG$4))</f>
        <v>#VALUE!</v>
      </c>
      <c r="GI16" s="21" t="e">
        <f ca="1">IF($C16&gt;GI$4,SUMIFS([1]销售表!$J:$J,[1]销售表!$I:$I,$A16,[1]销售表!$B:$B,GI$4),($L16-SUM($P16:GH16))*100%/(180-GH$4))</f>
        <v>#VALUE!</v>
      </c>
      <c r="GJ16" s="21" t="e">
        <f ca="1">IF($C16&gt;GJ$4,SUMIFS([1]销售表!$J:$J,[1]销售表!$I:$I,$A16,[1]销售表!$B:$B,GJ$4),($L16-SUM($P16:GI16))*100%/(180-GI$4))</f>
        <v>#VALUE!</v>
      </c>
      <c r="GK16" s="21" t="e">
        <f ca="1">IF($C16&gt;GK$4,SUMIFS([1]销售表!$J:$J,[1]销售表!$I:$I,$A16,[1]销售表!$B:$B,GK$4),($L16-SUM($P16:GJ16))*100%/(180-GJ$4))</f>
        <v>#VALUE!</v>
      </c>
      <c r="GL16" s="21" t="e">
        <f ca="1">IF($C16&gt;GL$4,SUMIFS([1]销售表!$J:$J,[1]销售表!$I:$I,$A16,[1]销售表!$B:$B,GL$4),($L16-SUM($P16:GK16))*100%/(180-GK$4))</f>
        <v>#VALUE!</v>
      </c>
      <c r="GM16" s="21" t="e">
        <f ca="1">IF($C16&gt;GM$4,SUMIFS([1]销售表!$J:$J,[1]销售表!$I:$I,$A16,[1]销售表!$B:$B,GM$4),($L16-SUM($P16:GL16))*100%/(180-GL$4))</f>
        <v>#VALUE!</v>
      </c>
    </row>
    <row r="17" spans="1:195" x14ac:dyDescent="0.25">
      <c r="A17" s="8"/>
      <c r="B17" s="7"/>
      <c r="C17" s="8">
        <f t="shared" ca="1" si="18"/>
        <v>46198</v>
      </c>
      <c r="D17" s="8"/>
      <c r="E17" s="8">
        <f t="shared" si="16"/>
        <v>0</v>
      </c>
      <c r="F17" s="8"/>
      <c r="G17" s="8"/>
      <c r="H17" s="9" t="e">
        <f t="shared" si="17"/>
        <v>#DIV/0!</v>
      </c>
      <c r="I17" s="8"/>
      <c r="J17" s="8">
        <f>SUMIFS([1]销售表!J:J,[1]销售表!I:I,A17,[1]销售表!E:E,"可取")</f>
        <v>0</v>
      </c>
      <c r="K17" s="8"/>
      <c r="L17" s="8"/>
      <c r="M17" s="10">
        <f>_xlfn.XLOOKUP(A17,[1]销售表!I:I,[1]销售表!J:J,0,0,-1)</f>
        <v>0</v>
      </c>
      <c r="N17" s="10" t="str" cm="1">
        <f t="array" ref="N17" ca="1">IF(C17&gt;180,"0",INDEX(P17:GM17,C17))</f>
        <v>0</v>
      </c>
      <c r="O17" s="20"/>
      <c r="P17" s="21">
        <f>SUMIFS([1]销售表!J:J,[1]销售表!I:I,A17,[1]销售表!B:B,$P$4)</f>
        <v>0</v>
      </c>
      <c r="Q17" s="21" t="e">
        <f ca="1">IF($C17&gt;Q$4,SUMIFS([1]销售表!$J:$J,[1]销售表!$I:$I,$A17,[1]销售表!$B:$B,Q$4),($L17-SUM($P17))*80%/(180-P$4))</f>
        <v>#VALUE!</v>
      </c>
      <c r="R17" s="21" t="e">
        <f ca="1">IF($C17&gt;R$4,SUMIFS([1]销售表!$J:$J,[1]销售表!$I:$I,$A17,[1]销售表!$B:$B,R$4),($L17-SUM($P17:Q17))*80%/(180-Q$4))</f>
        <v>#VALUE!</v>
      </c>
      <c r="S17" s="21" t="e">
        <f ca="1">IF($C17&gt;S$4,SUMIFS([1]销售表!$J:$J,[1]销售表!$I:$I,$A17,[1]销售表!$B:$B,S$4),($L17-SUM($P17:R17))*80%/(180-R$4))</f>
        <v>#VALUE!</v>
      </c>
      <c r="T17" s="21" t="e">
        <f ca="1">IF($C17&gt;T$4,SUMIFS([1]销售表!$J:$J,[1]销售表!$I:$I,$A17,[1]销售表!$B:$B,T$4),($L17-SUM($P17:S17))*80%/(180-S$4))</f>
        <v>#VALUE!</v>
      </c>
      <c r="U17" s="21" t="e">
        <f ca="1">IF($C17&gt;U$4,SUMIFS([1]销售表!$J:$J,[1]销售表!$I:$I,$A17,[1]销售表!$B:$B,U$4),($L17-SUM($P17:T17))*80%/(180-T$4))</f>
        <v>#VALUE!</v>
      </c>
      <c r="V17" s="21" t="e">
        <f ca="1">IF($C17&gt;V$4,SUMIFS([1]销售表!$J:$J,[1]销售表!$I:$I,$A17,[1]销售表!$B:$B,V$4),($L17-SUM($P17:U17))*80%/(180-U$4))</f>
        <v>#VALUE!</v>
      </c>
      <c r="W17" s="21" t="e">
        <f ca="1">IF($C17&gt;W$4,SUMIFS([1]销售表!$J:$J,[1]销售表!$I:$I,$A17,[1]销售表!$B:$B,W$4),($L17-SUM($P17:V17))*80%/(180-V$4))</f>
        <v>#VALUE!</v>
      </c>
      <c r="X17" s="21" t="e">
        <f ca="1">IF($C17&gt;X$4,SUMIFS([1]销售表!$J:$J,[1]销售表!$I:$I,$A17,[1]销售表!$B:$B,X$4),($L17-SUM($P17:W17))*80%/(180-W$4))</f>
        <v>#VALUE!</v>
      </c>
      <c r="Y17" s="21" t="e">
        <f ca="1">IF($C17&gt;Y$4,SUMIFS([1]销售表!$J:$J,[1]销售表!$I:$I,$A17,[1]销售表!$B:$B,Y$4),($L17-SUM($P17:X17))*80%/(180-X$4))</f>
        <v>#VALUE!</v>
      </c>
      <c r="Z17" s="21" t="e">
        <f ca="1">IF($C17&gt;Z$4,SUMIFS([1]销售表!$J:$J,[1]销售表!$I:$I,$A17,[1]销售表!$B:$B,Z$4),($L17-SUM($P17:Y17))*80%/(180-Y$4))</f>
        <v>#VALUE!</v>
      </c>
      <c r="AA17" s="21" t="e">
        <f ca="1">IF($C17&gt;AA$4,SUMIFS([1]销售表!$J:$J,[1]销售表!$I:$I,$A17,[1]销售表!$B:$B,AA$4),($L17-SUM($P17:Z17))*80%/(180-Z$4))</f>
        <v>#VALUE!</v>
      </c>
      <c r="AB17" s="21" t="e">
        <f ca="1">IF($C17&gt;AB$4,SUMIFS([1]销售表!$J:$J,[1]销售表!$I:$I,$A17,[1]销售表!$B:$B,AB$4),($L17-SUM($P17:AA17))*80%/(180-AA$4))</f>
        <v>#VALUE!</v>
      </c>
      <c r="AC17" s="21" t="e">
        <f ca="1">IF($C17&gt;AC$4,SUMIFS([1]销售表!$J:$J,[1]销售表!$I:$I,$A17,[1]销售表!$B:$B,AC$4),($L17-SUM($P17:AB17))*80%/(180-AB$4))</f>
        <v>#VALUE!</v>
      </c>
      <c r="AD17" s="21" t="e">
        <f ca="1">IF($C17&gt;AD$4,SUMIFS([1]销售表!$J:$J,[1]销售表!$I:$I,$A17,[1]销售表!$B:$B,AD$4),($L17-SUM($P17:AC17))*80%/(180-AC$4))</f>
        <v>#VALUE!</v>
      </c>
      <c r="AE17" s="21" t="e">
        <f ca="1">IF($C17&gt;AE$4,SUMIFS([1]销售表!$J:$J,[1]销售表!$I:$I,$A17,[1]销售表!$B:$B,AE$4),($L17-SUM($P17:AD17))*80%/(180-AD$4))</f>
        <v>#VALUE!</v>
      </c>
      <c r="AF17" s="21" t="e">
        <f ca="1">IF($C17&gt;AF$4,SUMIFS([1]销售表!$J:$J,[1]销售表!$I:$I,$A17,[1]销售表!$B:$B,AF$4),($L17-SUM($P17:AE17))*80%/(180-AE$4))</f>
        <v>#VALUE!</v>
      </c>
      <c r="AG17" s="21" t="e">
        <f ca="1">IF($C17&gt;AG$4,SUMIFS([1]销售表!$J:$J,[1]销售表!$I:$I,$A17,[1]销售表!$B:$B,AG$4),($L17-SUM($P17:AF17))*80%/(180-AF$4))</f>
        <v>#VALUE!</v>
      </c>
      <c r="AH17" s="21" t="e">
        <f ca="1">IF($C17&gt;AH$4,SUMIFS([1]销售表!$J:$J,[1]销售表!$I:$I,$A17,[1]销售表!$B:$B,AH$4),($L17-SUM($P17:AG17))*80%/(180-AG$4))</f>
        <v>#VALUE!</v>
      </c>
      <c r="AI17" s="21" t="e">
        <f ca="1">IF($C17&gt;AI$4,SUMIFS([1]销售表!$J:$J,[1]销售表!$I:$I,$A17,[1]销售表!$B:$B,AI$4),($L17-SUM($P17:AH17))*80%/(180-AH$4))</f>
        <v>#VALUE!</v>
      </c>
      <c r="AJ17" s="21" t="e">
        <f ca="1">IF($C17&gt;AJ$4,SUMIFS([1]销售表!$J:$J,[1]销售表!$I:$I,$A17,[1]销售表!$B:$B,AJ$4),($L17-SUM($P17:AI17))*80%/(180-AI$4))</f>
        <v>#VALUE!</v>
      </c>
      <c r="AK17" s="21" t="e">
        <f ca="1">IF($C17&gt;AK$4,SUMIFS([1]销售表!$J:$J,[1]销售表!$I:$I,$A17,[1]销售表!$B:$B,AK$4),($L17-SUM($P17:AJ17))*80%/(180-AJ$4))</f>
        <v>#VALUE!</v>
      </c>
      <c r="AL17" s="21" t="e">
        <f ca="1">IF($C17&gt;AL$4,SUMIFS([1]销售表!$J:$J,[1]销售表!$I:$I,$A17,[1]销售表!$B:$B,AL$4),($L17-SUM($P17:AK17))*80%/(180-AK$4))</f>
        <v>#VALUE!</v>
      </c>
      <c r="AM17" s="21" t="e">
        <f ca="1">IF($C17&gt;AM$4,SUMIFS([1]销售表!$J:$J,[1]销售表!$I:$I,$A17,[1]销售表!$B:$B,AM$4),($L17-SUM($P17:AL17))*80%/(180-AL$4))</f>
        <v>#VALUE!</v>
      </c>
      <c r="AN17" s="21" t="e">
        <f ca="1">IF($C17&gt;AN$4,SUMIFS([1]销售表!$J:$J,[1]销售表!$I:$I,$A17,[1]销售表!$B:$B,AN$4),($L17-SUM($P17:AM17))*80%/(180-AM$4))</f>
        <v>#VALUE!</v>
      </c>
      <c r="AO17" s="21" t="e">
        <f ca="1">IF($C17&gt;AO$4,SUMIFS([1]销售表!$J:$J,[1]销售表!$I:$I,$A17,[1]销售表!$B:$B,AO$4),($L17-SUM($P17:AN17))*80%/(180-AN$4))</f>
        <v>#VALUE!</v>
      </c>
      <c r="AP17" s="21" t="e">
        <f ca="1">IF($C17&gt;AP$4,SUMIFS([1]销售表!$J:$J,[1]销售表!$I:$I,$A17,[1]销售表!$B:$B,AP$4),($L17-SUM($P17:AO17))*80%/(180-AO$4))</f>
        <v>#VALUE!</v>
      </c>
      <c r="AQ17" s="21" t="e">
        <f ca="1">IF($C17&gt;AQ$4,SUMIFS([1]销售表!$J:$J,[1]销售表!$I:$I,$A17,[1]销售表!$B:$B,AQ$4),($L17-SUM($P17:AP17))*80%/(180-AP$4))</f>
        <v>#VALUE!</v>
      </c>
      <c r="AR17" s="21" t="e">
        <f ca="1">IF($C17&gt;AR$4,SUMIFS([1]销售表!$J:$J,[1]销售表!$I:$I,$A17,[1]销售表!$B:$B,AR$4),($L17-SUM($P17:AQ17))*80%/(180-AQ$4))</f>
        <v>#VALUE!</v>
      </c>
      <c r="AS17" s="21" t="e">
        <f ca="1">IF($C17&gt;AS$4,SUMIFS([1]销售表!$J:$J,[1]销售表!$I:$I,$A17,[1]销售表!$B:$B,AS$4),($L17-SUM($P17:AR17))*80%/(180-AR$4))</f>
        <v>#VALUE!</v>
      </c>
      <c r="AT17" s="21" t="e">
        <f ca="1">IF($C17&gt;AT$4,SUMIFS([1]销售表!$J:$J,[1]销售表!$I:$I,$A17,[1]销售表!$B:$B,AT$4),($L17-SUM($P17:AS17))*110%/(180-AS$4))</f>
        <v>#VALUE!</v>
      </c>
      <c r="AU17" s="21" t="e">
        <f ca="1">IF($C17&gt;AU$4,SUMIFS([1]销售表!$J:$J,[1]销售表!$I:$I,$A17,[1]销售表!$B:$B,AU$4),($L17-SUM($P17:AT17))*110%/(180-AT$4))</f>
        <v>#VALUE!</v>
      </c>
      <c r="AV17" s="21" t="e">
        <f ca="1">IF($C17&gt;AV$4,SUMIFS([1]销售表!$J:$J,[1]销售表!$I:$I,$A17,[1]销售表!$B:$B,AV$4),($L17-SUM($P17:AU17))*110%/(180-AU$4))</f>
        <v>#VALUE!</v>
      </c>
      <c r="AW17" s="21" t="e">
        <f ca="1">IF($C17&gt;AW$4,SUMIFS([1]销售表!$J:$J,[1]销售表!$I:$I,$A17,[1]销售表!$B:$B,AW$4),($L17-SUM($P17:AV17))*110%/(180-AV$4))</f>
        <v>#VALUE!</v>
      </c>
      <c r="AX17" s="21" t="e">
        <f ca="1">IF($C17&gt;AX$4,SUMIFS([1]销售表!$J:$J,[1]销售表!$I:$I,$A17,[1]销售表!$B:$B,AX$4),($L17-SUM($P17:AW17))*110%/(180-AW$4))</f>
        <v>#VALUE!</v>
      </c>
      <c r="AY17" s="21" t="e">
        <f ca="1">IF($C17&gt;AY$4,SUMIFS([1]销售表!$J:$J,[1]销售表!$I:$I,$A17,[1]销售表!$B:$B,AY$4),($L17-SUM($P17:AX17))*110%/(180-AX$4))</f>
        <v>#VALUE!</v>
      </c>
      <c r="AZ17" s="21" t="e">
        <f ca="1">IF($C17&gt;AZ$4,SUMIFS([1]销售表!$J:$J,[1]销售表!$I:$I,$A17,[1]销售表!$B:$B,AZ$4),($L17-SUM($P17:AY17))*110%/(180-AY$4))</f>
        <v>#VALUE!</v>
      </c>
      <c r="BA17" s="21" t="e">
        <f ca="1">IF($C17&gt;BA$4,SUMIFS([1]销售表!$J:$J,[1]销售表!$I:$I,$A17,[1]销售表!$B:$B,BA$4),($L17-SUM($P17:AZ17))*110%/(180-AZ$4))</f>
        <v>#VALUE!</v>
      </c>
      <c r="BB17" s="21" t="e">
        <f ca="1">IF($C17&gt;BB$4,SUMIFS([1]销售表!$J:$J,[1]销售表!$I:$I,$A17,[1]销售表!$B:$B,BB$4),($L17-SUM($P17:BA17))*110%/(180-BA$4))</f>
        <v>#VALUE!</v>
      </c>
      <c r="BC17" s="21" t="e">
        <f ca="1">IF($C17&gt;BC$4,SUMIFS([1]销售表!$J:$J,[1]销售表!$I:$I,$A17,[1]销售表!$B:$B,BC$4),($L17-SUM($P17:BB17))*110%/(180-BB$4))</f>
        <v>#VALUE!</v>
      </c>
      <c r="BD17" s="21" t="e">
        <f ca="1">IF($C17&gt;BD$4,SUMIFS([1]销售表!$J:$J,[1]销售表!$I:$I,$A17,[1]销售表!$B:$B,BD$4),($L17-SUM($P17:BC17))*110%/(180-BC$4))</f>
        <v>#VALUE!</v>
      </c>
      <c r="BE17" s="21" t="e">
        <f ca="1">IF($C17&gt;BE$4,SUMIFS([1]销售表!$J:$J,[1]销售表!$I:$I,$A17,[1]销售表!$B:$B,BE$4),($L17-SUM($P17:BD17))*110%/(180-BD$4))</f>
        <v>#VALUE!</v>
      </c>
      <c r="BF17" s="21" t="e">
        <f ca="1">IF($C17&gt;BF$4,SUMIFS([1]销售表!$J:$J,[1]销售表!$I:$I,$A17,[1]销售表!$B:$B,BF$4),($L17-SUM($P17:BE17))*110%/(180-BE$4))</f>
        <v>#VALUE!</v>
      </c>
      <c r="BG17" s="21" t="e">
        <f ca="1">IF($C17&gt;BG$4,SUMIFS([1]销售表!$J:$J,[1]销售表!$I:$I,$A17,[1]销售表!$B:$B,BG$4),($L17-SUM($P17:BF17))*110%/(180-BF$4))</f>
        <v>#VALUE!</v>
      </c>
      <c r="BH17" s="21" t="e">
        <f ca="1">IF($C17&gt;BH$4,SUMIFS([1]销售表!$J:$J,[1]销售表!$I:$I,$A17,[1]销售表!$B:$B,BH$4),($L17-SUM($P17:BG17))*110%/(180-BG$4))</f>
        <v>#VALUE!</v>
      </c>
      <c r="BI17" s="21" t="e">
        <f ca="1">IF($C17&gt;BI$4,SUMIFS([1]销售表!$J:$J,[1]销售表!$I:$I,$A17,[1]销售表!$B:$B,BI$4),($L17-SUM($P17:BH17))*110%/(180-BH$4))</f>
        <v>#VALUE!</v>
      </c>
      <c r="BJ17" s="21" t="e">
        <f ca="1">IF($C17&gt;BJ$4,SUMIFS([1]销售表!$J:$J,[1]销售表!$I:$I,$A17,[1]销售表!$B:$B,BJ$4),($L17-SUM($P17:BI17))*110%/(180-BI$4))</f>
        <v>#VALUE!</v>
      </c>
      <c r="BK17" s="21" t="e">
        <f ca="1">IF($C17&gt;BK$4,SUMIFS([1]销售表!$J:$J,[1]销售表!$I:$I,$A17,[1]销售表!$B:$B,BK$4),($L17-SUM($P17:BJ17))*110%/(180-BJ$4))</f>
        <v>#VALUE!</v>
      </c>
      <c r="BL17" s="21" t="e">
        <f ca="1">IF($C17&gt;BL$4,SUMIFS([1]销售表!$J:$J,[1]销售表!$I:$I,$A17,[1]销售表!$B:$B,BL$4),($L17-SUM($P17:BK17))*110%/(180-BK$4))</f>
        <v>#VALUE!</v>
      </c>
      <c r="BM17" s="21" t="e">
        <f ca="1">IF($C17&gt;BM$4,SUMIFS([1]销售表!$J:$J,[1]销售表!$I:$I,$A17,[1]销售表!$B:$B,BM$4),($L17-SUM($P17:BL17))*110%/(180-BL$4))</f>
        <v>#VALUE!</v>
      </c>
      <c r="BN17" s="21" t="e">
        <f ca="1">IF($C17&gt;BN$4,SUMIFS([1]销售表!$J:$J,[1]销售表!$I:$I,$A17,[1]销售表!$B:$B,BN$4),($L17-SUM($P17:BM17))*110%/(180-BM$4))</f>
        <v>#VALUE!</v>
      </c>
      <c r="BO17" s="21" t="e">
        <f ca="1">IF($C17&gt;BO$4,SUMIFS([1]销售表!$J:$J,[1]销售表!$I:$I,$A17,[1]销售表!$B:$B,BO$4),($L17-SUM($P17:BN17))*110%/(180-BN$4))</f>
        <v>#VALUE!</v>
      </c>
      <c r="BP17" s="21" t="e">
        <f ca="1">IF($C17&gt;BP$4,SUMIFS([1]销售表!$J:$J,[1]销售表!$I:$I,$A17,[1]销售表!$B:$B,BP$4),($L17-SUM($P17:BO17))*110%/(180-BO$4))</f>
        <v>#VALUE!</v>
      </c>
      <c r="BQ17" s="21" t="e">
        <f ca="1">IF($C17&gt;BQ$4,SUMIFS([1]销售表!$J:$J,[1]销售表!$I:$I,$A17,[1]销售表!$B:$B,BQ$4),($L17-SUM($P17:BP17))*110%/(180-BP$4))</f>
        <v>#VALUE!</v>
      </c>
      <c r="BR17" s="21" t="e">
        <f ca="1">IF($C17&gt;BR$4,SUMIFS([1]销售表!$J:$J,[1]销售表!$I:$I,$A17,[1]销售表!$B:$B,BR$4),($L17-SUM($P17:BQ17))*110%/(180-BQ$4))</f>
        <v>#VALUE!</v>
      </c>
      <c r="BS17" s="21" t="e">
        <f ca="1">IF($C17&gt;BS$4,SUMIFS([1]销售表!$J:$J,[1]销售表!$I:$I,$A17,[1]销售表!$B:$B,BS$4),($L17-SUM($P17:BR17))*110%/(180-BR$4))</f>
        <v>#VALUE!</v>
      </c>
      <c r="BT17" s="21" t="e">
        <f ca="1">IF($C17&gt;BT$4,SUMIFS([1]销售表!$J:$J,[1]销售表!$I:$I,$A17,[1]销售表!$B:$B,BT$4),($L17-SUM($P17:BS17))*110%/(180-BS$4))</f>
        <v>#VALUE!</v>
      </c>
      <c r="BU17" s="21" t="e">
        <f ca="1">IF($C17&gt;BU$4,SUMIFS([1]销售表!$J:$J,[1]销售表!$I:$I,$A17,[1]销售表!$B:$B,BU$4),($L17-SUM($P17:BT17))*110%/(180-BT$4))</f>
        <v>#VALUE!</v>
      </c>
      <c r="BV17" s="21" t="e">
        <f ca="1">IF($C17&gt;BV$4,SUMIFS([1]销售表!$J:$J,[1]销售表!$I:$I,$A17,[1]销售表!$B:$B,BV$4),($L17-SUM($P17:BU17))*110%/(180-BU$4))</f>
        <v>#VALUE!</v>
      </c>
      <c r="BW17" s="21" t="e">
        <f ca="1">IF($C17&gt;BW$4,SUMIFS([1]销售表!$J:$J,[1]销售表!$I:$I,$A17,[1]销售表!$B:$B,BW$4),($L17-SUM($P17:BV17))*110%/(180-BV$4))</f>
        <v>#VALUE!</v>
      </c>
      <c r="BX17" s="21" t="e">
        <f ca="1">IF($C17&gt;BX$4,SUMIFS([1]销售表!$J:$J,[1]销售表!$I:$I,$A17,[1]销售表!$B:$B,BX$4),($L17-SUM($P17:BW17))*110%/(180-BW$4))</f>
        <v>#VALUE!</v>
      </c>
      <c r="BY17" s="21" t="e">
        <f ca="1">IF($C17&gt;BY$4,SUMIFS([1]销售表!$J:$J,[1]销售表!$I:$I,$A17,[1]销售表!$B:$B,BY$4),($L17-SUM($P17:BX17))*110%/(180-BX$4))</f>
        <v>#VALUE!</v>
      </c>
      <c r="BZ17" s="21" t="e">
        <f ca="1">IF($C17&gt;BZ$4,SUMIFS([1]销售表!$J:$J,[1]销售表!$I:$I,$A17,[1]销售表!$B:$B,BZ$4),($L17-SUM($P17:BY17))*110%/(180-BY$4))</f>
        <v>#VALUE!</v>
      </c>
      <c r="CA17" s="21" t="e">
        <f ca="1">IF($C17&gt;CA$4,SUMIFS([1]销售表!$J:$J,[1]销售表!$I:$I,$A17,[1]销售表!$B:$B,CA$4),($L17-SUM($P17:BZ17))*110%/(180-BZ$4))</f>
        <v>#VALUE!</v>
      </c>
      <c r="CB17" s="21" t="e">
        <f ca="1">IF($C17&gt;CB$4,SUMIFS([1]销售表!$J:$J,[1]销售表!$I:$I,$A17,[1]销售表!$B:$B,CB$4),($L17-SUM($P17:CA17))*110%/(180-CA$4))</f>
        <v>#VALUE!</v>
      </c>
      <c r="CC17" s="21" t="e">
        <f ca="1">IF($C17&gt;CC$4,SUMIFS([1]销售表!$J:$J,[1]销售表!$I:$I,$A17,[1]销售表!$B:$B,CC$4),($L17-SUM($P17:CB17))*110%/(180-CB$4))</f>
        <v>#VALUE!</v>
      </c>
      <c r="CD17" s="21" t="e">
        <f ca="1">IF($C17&gt;CD$4,SUMIFS([1]销售表!$J:$J,[1]销售表!$I:$I,$A17,[1]销售表!$B:$B,CD$4),($L17-SUM($P17:CC17))*110%/(180-CC$4))</f>
        <v>#VALUE!</v>
      </c>
      <c r="CE17" s="21" t="e">
        <f ca="1">IF($C17&gt;CE$4,SUMIFS([1]销售表!$J:$J,[1]销售表!$I:$I,$A17,[1]销售表!$B:$B,CE$4),($L17-SUM($P17:CD17))*110%/(180-CD$4))</f>
        <v>#VALUE!</v>
      </c>
      <c r="CF17" s="21" t="e">
        <f ca="1">IF($C17&gt;CF$4,SUMIFS([1]销售表!$J:$J,[1]销售表!$I:$I,$A17,[1]销售表!$B:$B,CF$4),($L17-SUM($P17:CE17))*110%/(180-CE$4))</f>
        <v>#VALUE!</v>
      </c>
      <c r="CG17" s="21" t="e">
        <f ca="1">IF($C17&gt;CG$4,SUMIFS([1]销售表!$J:$J,[1]销售表!$I:$I,$A17,[1]销售表!$B:$B,CG$4),($L17-SUM($P17:CF17))*110%/(180-CF$4))</f>
        <v>#VALUE!</v>
      </c>
      <c r="CH17" s="21" t="e">
        <f ca="1">IF($C17&gt;CH$4,SUMIFS([1]销售表!$J:$J,[1]销售表!$I:$I,$A17,[1]销售表!$B:$B,CH$4),($L17-SUM($P17:CG17))*110%/(180-CG$4))</f>
        <v>#VALUE!</v>
      </c>
      <c r="CI17" s="21" t="e">
        <f ca="1">IF($C17&gt;CI$4,SUMIFS([1]销售表!$J:$J,[1]销售表!$I:$I,$A17,[1]销售表!$B:$B,CI$4),($L17-SUM($P17:CH17))*110%/(180-CH$4))</f>
        <v>#VALUE!</v>
      </c>
      <c r="CJ17" s="21" t="e">
        <f ca="1">IF($C17&gt;CJ$4,SUMIFS([1]销售表!$J:$J,[1]销售表!$I:$I,$A17,[1]销售表!$B:$B,CJ$4),($L17-SUM($P17:CI17))*110%/(180-CI$4))</f>
        <v>#VALUE!</v>
      </c>
      <c r="CK17" s="21" t="e">
        <f ca="1">IF($C17&gt;CK$4,SUMIFS([1]销售表!$J:$J,[1]销售表!$I:$I,$A17,[1]销售表!$B:$B,CK$4),($L17-SUM($P17:CJ17))*110%/(180-CJ$4))</f>
        <v>#VALUE!</v>
      </c>
      <c r="CL17" s="21" t="e">
        <f ca="1">IF($C17&gt;CL$4,SUMIFS([1]销售表!$J:$J,[1]销售表!$I:$I,$A17,[1]销售表!$B:$B,CL$4),($L17-SUM($P17:CK17))*110%/(180-CK$4))</f>
        <v>#VALUE!</v>
      </c>
      <c r="CM17" s="21" t="e">
        <f ca="1">IF($C17&gt;CM$4,SUMIFS([1]销售表!$J:$J,[1]销售表!$I:$I,$A17,[1]销售表!$B:$B,CM$4),($L17-SUM($P17:CL17))*110%/(180-CL$4))</f>
        <v>#VALUE!</v>
      </c>
      <c r="CN17" s="21" t="e">
        <f ca="1">IF($C17&gt;CN$4,SUMIFS([1]销售表!$J:$J,[1]销售表!$I:$I,$A17,[1]销售表!$B:$B,CN$4),($L17-SUM($P17:CM17))*110%/(180-CM$4))</f>
        <v>#VALUE!</v>
      </c>
      <c r="CO17" s="21" t="e">
        <f ca="1">IF($C17&gt;CO$4,SUMIFS([1]销售表!$J:$J,[1]销售表!$I:$I,$A17,[1]销售表!$B:$B,CO$4),($L17-SUM($P17:CN17))*110%/(180-CN$4))</f>
        <v>#VALUE!</v>
      </c>
      <c r="CP17" s="21" t="e">
        <f ca="1">IF($C17&gt;CP$4,SUMIFS([1]销售表!$J:$J,[1]销售表!$I:$I,$A17,[1]销售表!$B:$B,CP$4),($L17-SUM($P17:CO17))*110%/(180-CO$4))</f>
        <v>#VALUE!</v>
      </c>
      <c r="CQ17" s="21" t="e">
        <f ca="1">IF($C17&gt;CQ$4,SUMIFS([1]销售表!$J:$J,[1]销售表!$I:$I,$A17,[1]销售表!$B:$B,CQ$4),($L17-SUM($P17:CP17))*110%/(180-CP$4))</f>
        <v>#VALUE!</v>
      </c>
      <c r="CR17" s="21" t="e">
        <f ca="1">IF($C17&gt;CR$4,SUMIFS([1]销售表!$J:$J,[1]销售表!$I:$I,$A17,[1]销售表!$B:$B,CR$4),($L17-SUM($P17:CQ17))*110%/(180-CQ$4))</f>
        <v>#VALUE!</v>
      </c>
      <c r="CS17" s="21" t="e">
        <f ca="1">IF($C17&gt;CS$4,SUMIFS([1]销售表!$J:$J,[1]销售表!$I:$I,$A17,[1]销售表!$B:$B,CS$4),($L17-SUM($P17:CR17))*110%/(180-CR$4))</f>
        <v>#VALUE!</v>
      </c>
      <c r="CT17" s="21" t="e">
        <f ca="1">IF($C17&gt;CT$4,SUMIFS([1]销售表!$J:$J,[1]销售表!$I:$I,$A17,[1]销售表!$B:$B,CT$4),($L17-SUM($P17:CS17))*110%/(180-CS$4))</f>
        <v>#VALUE!</v>
      </c>
      <c r="CU17" s="21" t="e">
        <f ca="1">IF($C17&gt;CU$4,SUMIFS([1]销售表!$J:$J,[1]销售表!$I:$I,$A17,[1]销售表!$B:$B,CU$4),($L17-SUM($P17:CT17))*110%/(180-CT$4))</f>
        <v>#VALUE!</v>
      </c>
      <c r="CV17" s="21" t="e">
        <f ca="1">IF($C17&gt;CV$4,SUMIFS([1]销售表!$J:$J,[1]销售表!$I:$I,$A17,[1]销售表!$B:$B,CV$4),($L17-SUM($P17:CU17))*110%/(180-CU$4))</f>
        <v>#VALUE!</v>
      </c>
      <c r="CW17" s="21" t="e">
        <f ca="1">IF($C17&gt;CW$4,SUMIFS([1]销售表!$J:$J,[1]销售表!$I:$I,$A17,[1]销售表!$B:$B,CW$4),($L17-SUM($P17:CV17))*110%/(180-CV$4))</f>
        <v>#VALUE!</v>
      </c>
      <c r="CX17" s="21" t="e">
        <f ca="1">IF($C17&gt;CX$4,SUMIFS([1]销售表!$J:$J,[1]销售表!$I:$I,$A17,[1]销售表!$B:$B,CX$4),($L17-SUM($P17:CW17))*110%/(180-CW$4))</f>
        <v>#VALUE!</v>
      </c>
      <c r="CY17" s="21" t="e">
        <f ca="1">IF($C17&gt;CY$4,SUMIFS([1]销售表!$J:$J,[1]销售表!$I:$I,$A17,[1]销售表!$B:$B,CY$4),($L17-SUM($P17:CX17))*110%/(180-CX$4))</f>
        <v>#VALUE!</v>
      </c>
      <c r="CZ17" s="21" t="e">
        <f ca="1">IF($C17&gt;CZ$4,SUMIFS([1]销售表!$J:$J,[1]销售表!$I:$I,$A17,[1]销售表!$B:$B,CZ$4),($L17-SUM($P17:CY17))*110%/(180-CY$4))</f>
        <v>#VALUE!</v>
      </c>
      <c r="DA17" s="21" t="e">
        <f ca="1">IF($C17&gt;DA$4,SUMIFS([1]销售表!$J:$J,[1]销售表!$I:$I,$A17,[1]销售表!$B:$B,DA$4),($L17-SUM($P17:CZ17))*110%/(180-CZ$4))</f>
        <v>#VALUE!</v>
      </c>
      <c r="DB17" s="21" t="e">
        <f ca="1">IF($C17&gt;DB$4,SUMIFS([1]销售表!$J:$J,[1]销售表!$I:$I,$A17,[1]销售表!$B:$B,DB$4),($L17-SUM($P17:DA17))*110%/(180-DA$4))</f>
        <v>#VALUE!</v>
      </c>
      <c r="DC17" s="21" t="e">
        <f ca="1">IF($C17&gt;DC$4,SUMIFS([1]销售表!$J:$J,[1]销售表!$I:$I,$A17,[1]销售表!$B:$B,DC$4),($L17-SUM($P17:DB17))*110%/(180-DB$4))</f>
        <v>#VALUE!</v>
      </c>
      <c r="DD17" s="21" t="e">
        <f ca="1">IF($C17&gt;DD$4,SUMIFS([1]销售表!$J:$J,[1]销售表!$I:$I,$A17,[1]销售表!$B:$B,DD$4),($L17-SUM($P17:DC17))*110%/(180-DC$4))</f>
        <v>#VALUE!</v>
      </c>
      <c r="DE17" s="21" t="e">
        <f ca="1">IF($C17&gt;DE$4,SUMIFS([1]销售表!$J:$J,[1]销售表!$I:$I,$A17,[1]销售表!$B:$B,DE$4),($L17-SUM($P17:DD17))*110%/(180-DD$4))</f>
        <v>#VALUE!</v>
      </c>
      <c r="DF17" s="21" t="e">
        <f ca="1">IF($C17&gt;DF$4,SUMIFS([1]销售表!$J:$J,[1]销售表!$I:$I,$A17,[1]销售表!$B:$B,DF$4),($L17-SUM($P17:DE17))*110%/(180-DE$4))</f>
        <v>#VALUE!</v>
      </c>
      <c r="DG17" s="21" t="e">
        <f ca="1">IF($C17&gt;DG$4,SUMIFS([1]销售表!$J:$J,[1]销售表!$I:$I,$A17,[1]销售表!$B:$B,DG$4),($L17-SUM($P17:DF17))*110%/(180-DF$4))</f>
        <v>#VALUE!</v>
      </c>
      <c r="DH17" s="21" t="e">
        <f ca="1">IF($C17&gt;DH$4,SUMIFS([1]销售表!$J:$J,[1]销售表!$I:$I,$A17,[1]销售表!$B:$B,DH$4),($L17-SUM($P17:DG17))*110%/(180-DG$4))</f>
        <v>#VALUE!</v>
      </c>
      <c r="DI17" s="21" t="e">
        <f ca="1">IF($C17&gt;DI$4,SUMIFS([1]销售表!$J:$J,[1]销售表!$I:$I,$A17,[1]销售表!$B:$B,DI$4),($L17-SUM($P17:DH17))*110%/(180-DH$4))</f>
        <v>#VALUE!</v>
      </c>
      <c r="DJ17" s="21" t="e">
        <f ca="1">IF($C17&gt;DJ$4,SUMIFS([1]销售表!$J:$J,[1]销售表!$I:$I,$A17,[1]销售表!$B:$B,DJ$4),($L17-SUM($P17:DI17))*110%/(180-DI$4))</f>
        <v>#VALUE!</v>
      </c>
      <c r="DK17" s="21" t="e">
        <f ca="1">IF($C17&gt;DK$4,SUMIFS([1]销售表!$J:$J,[1]销售表!$I:$I,$A17,[1]销售表!$B:$B,DK$4),($L17-SUM($P17:DJ17))*110%/(180-DJ$4))</f>
        <v>#VALUE!</v>
      </c>
      <c r="DL17" s="21" t="e">
        <f ca="1">IF($C17&gt;DL$4,SUMIFS([1]销售表!$J:$J,[1]销售表!$I:$I,$A17,[1]销售表!$B:$B,DL$4),($L17-SUM($P17:DK17))*110%/(180-DK$4))</f>
        <v>#VALUE!</v>
      </c>
      <c r="DM17" s="21" t="e">
        <f ca="1">IF($C17&gt;DM$4,SUMIFS([1]销售表!$J:$J,[1]销售表!$I:$I,$A17,[1]销售表!$B:$B,DM$4),($L17-SUM($P17:DL17))*110%/(180-DL$4))</f>
        <v>#VALUE!</v>
      </c>
      <c r="DN17" s="21" t="e">
        <f ca="1">IF($C17&gt;DN$4,SUMIFS([1]销售表!$J:$J,[1]销售表!$I:$I,$A17,[1]销售表!$B:$B,DN$4),($L17-SUM($P17:DM17))*110%/(180-DM$4))</f>
        <v>#VALUE!</v>
      </c>
      <c r="DO17" s="21" t="e">
        <f ca="1">IF($C17&gt;DO$4,SUMIFS([1]销售表!$J:$J,[1]销售表!$I:$I,$A17,[1]销售表!$B:$B,DO$4),($L17-SUM($P17:DN17))*110%/(180-DN$4))</f>
        <v>#VALUE!</v>
      </c>
      <c r="DP17" s="21" t="e">
        <f ca="1">IF($C17&gt;DP$4,SUMIFS([1]销售表!$J:$J,[1]销售表!$I:$I,$A17,[1]销售表!$B:$B,DP$4),($L17-SUM($P17:DO17))*110%/(180-DO$4))</f>
        <v>#VALUE!</v>
      </c>
      <c r="DQ17" s="21" t="e">
        <f ca="1">IF($C17&gt;DQ$4,SUMIFS([1]销售表!$J:$J,[1]销售表!$I:$I,$A17,[1]销售表!$B:$B,DQ$4),($L17-SUM($P17:DP17))*110%/(180-DP$4))</f>
        <v>#VALUE!</v>
      </c>
      <c r="DR17" s="21" t="e">
        <f ca="1">IF($C17&gt;DR$4,SUMIFS([1]销售表!$J:$J,[1]销售表!$I:$I,$A17,[1]销售表!$B:$B,DR$4),($L17-SUM($P17:DQ17))*110%/(180-DQ$4))</f>
        <v>#VALUE!</v>
      </c>
      <c r="DS17" s="21" t="e">
        <f ca="1">IF($C17&gt;DS$4,SUMIFS([1]销售表!$J:$J,[1]销售表!$I:$I,$A17,[1]销售表!$B:$B,DS$4),($L17-SUM($P17:DR17))*110%/(180-DR$4))</f>
        <v>#VALUE!</v>
      </c>
      <c r="DT17" s="21" t="e">
        <f ca="1">IF($C17&gt;DT$4,SUMIFS([1]销售表!$J:$J,[1]销售表!$I:$I,$A17,[1]销售表!$B:$B,DT$4),($L17-SUM($P17:DS17))*110%/(180-DS$4))</f>
        <v>#VALUE!</v>
      </c>
      <c r="DU17" s="21" t="e">
        <f ca="1">IF($C17&gt;DU$4,SUMIFS([1]销售表!$J:$J,[1]销售表!$I:$I,$A17,[1]销售表!$B:$B,DU$4),($L17-SUM($P17:DT17))*110%/(180-DT$4))</f>
        <v>#VALUE!</v>
      </c>
      <c r="DV17" s="21" t="e">
        <f ca="1">IF($C17&gt;DV$4,SUMIFS([1]销售表!$J:$J,[1]销售表!$I:$I,$A17,[1]销售表!$B:$B,DV$4),($L17-SUM($P17:DU17))*110%/(180-DU$4))</f>
        <v>#VALUE!</v>
      </c>
      <c r="DW17" s="21" t="e">
        <f ca="1">IF($C17&gt;DW$4,SUMIFS([1]销售表!$J:$J,[1]销售表!$I:$I,$A17,[1]销售表!$B:$B,DW$4),($L17-SUM($P17:DV17))*110%/(180-DV$4))</f>
        <v>#VALUE!</v>
      </c>
      <c r="DX17" s="21" t="e">
        <f ca="1">IF($C17&gt;DX$4,SUMIFS([1]销售表!$J:$J,[1]销售表!$I:$I,$A17,[1]销售表!$B:$B,DX$4),($L17-SUM($P17:DW17))*110%/(180-DW$4))</f>
        <v>#VALUE!</v>
      </c>
      <c r="DY17" s="21" t="e">
        <f ca="1">IF($C17&gt;DY$4,SUMIFS([1]销售表!$J:$J,[1]销售表!$I:$I,$A17,[1]销售表!$B:$B,DY$4),($L17-SUM($P17:DX17))*110%/(180-DX$4))</f>
        <v>#VALUE!</v>
      </c>
      <c r="DZ17" s="21" t="e">
        <f ca="1">IF($C17&gt;DZ$4,SUMIFS([1]销售表!$J:$J,[1]销售表!$I:$I,$A17,[1]销售表!$B:$B,DZ$4),($L17-SUM($P17:DY17))*110%/(180-DY$4))</f>
        <v>#VALUE!</v>
      </c>
      <c r="EA17" s="21" t="e">
        <f ca="1">IF($C17&gt;EA$4,SUMIFS([1]销售表!$J:$J,[1]销售表!$I:$I,$A17,[1]销售表!$B:$B,EA$4),($L17-SUM($P17:DZ17))*110%/(180-DZ$4))</f>
        <v>#VALUE!</v>
      </c>
      <c r="EB17" s="21" t="e">
        <f ca="1">IF($C17&gt;EB$4,SUMIFS([1]销售表!$J:$J,[1]销售表!$I:$I,$A17,[1]销售表!$B:$B,EB$4),($L17-SUM($P17:EA17))*110%/(180-EA$4))</f>
        <v>#VALUE!</v>
      </c>
      <c r="EC17" s="21" t="e">
        <f ca="1">IF($C17&gt;EC$4,SUMIFS([1]销售表!$J:$J,[1]销售表!$I:$I,$A17,[1]销售表!$B:$B,EC$4),($L17-SUM($P17:EB17))*110%/(180-EB$4))</f>
        <v>#VALUE!</v>
      </c>
      <c r="ED17" s="21" t="e">
        <f ca="1">IF($C17&gt;ED$4,SUMIFS([1]销售表!$J:$J,[1]销售表!$I:$I,$A17,[1]销售表!$B:$B,ED$4),($L17-SUM($P17:EC17))*110%/(180-EC$4))</f>
        <v>#VALUE!</v>
      </c>
      <c r="EE17" s="21" t="e">
        <f ca="1">IF($C17&gt;EE$4,SUMIFS([1]销售表!$J:$J,[1]销售表!$I:$I,$A17,[1]销售表!$B:$B,EE$4),($L17-SUM($P17:ED17))*110%/(180-ED$4))</f>
        <v>#VALUE!</v>
      </c>
      <c r="EF17" s="21" t="e">
        <f ca="1">IF($C17&gt;EF$4,SUMIFS([1]销售表!$J:$J,[1]销售表!$I:$I,$A17,[1]销售表!$B:$B,EF$4),($L17-SUM($P17:EE17))*100%/(180-EE$4))</f>
        <v>#VALUE!</v>
      </c>
      <c r="EG17" s="21" t="e">
        <f ca="1">IF($C17&gt;EG$4,SUMIFS([1]销售表!$J:$J,[1]销售表!$I:$I,$A17,[1]销售表!$B:$B,EG$4),($L17-SUM($P17:EF17))*100%/(180-EF$4))</f>
        <v>#VALUE!</v>
      </c>
      <c r="EH17" s="21" t="e">
        <f ca="1">IF($C17&gt;EH$4,SUMIFS([1]销售表!$J:$J,[1]销售表!$I:$I,$A17,[1]销售表!$B:$B,EH$4),($L17-SUM($P17:EG17))*100%/(180-EG$4))</f>
        <v>#VALUE!</v>
      </c>
      <c r="EI17" s="21" t="e">
        <f ca="1">IF($C17&gt;EI$4,SUMIFS([1]销售表!$J:$J,[1]销售表!$I:$I,$A17,[1]销售表!$B:$B,EI$4),($L17-SUM($P17:EH17))*100%/(180-EH$4))</f>
        <v>#VALUE!</v>
      </c>
      <c r="EJ17" s="21" t="e">
        <f ca="1">IF($C17&gt;EJ$4,SUMIFS([1]销售表!$J:$J,[1]销售表!$I:$I,$A17,[1]销售表!$B:$B,EJ$4),($L17-SUM($P17:EI17))*100%/(180-EI$4))</f>
        <v>#VALUE!</v>
      </c>
      <c r="EK17" s="21" t="e">
        <f ca="1">IF($C17&gt;EK$4,SUMIFS([1]销售表!$J:$J,[1]销售表!$I:$I,$A17,[1]销售表!$B:$B,EK$4),($L17-SUM($P17:EJ17))*100%/(180-EJ$4))</f>
        <v>#VALUE!</v>
      </c>
      <c r="EL17" s="21" t="e">
        <f ca="1">IF($C17&gt;EL$4,SUMIFS([1]销售表!$J:$J,[1]销售表!$I:$I,$A17,[1]销售表!$B:$B,EL$4),($L17-SUM($P17:EK17))*100%/(180-EK$4))</f>
        <v>#VALUE!</v>
      </c>
      <c r="EM17" s="21" t="e">
        <f ca="1">IF($C17&gt;EM$4,SUMIFS([1]销售表!$J:$J,[1]销售表!$I:$I,$A17,[1]销售表!$B:$B,EM$4),($L17-SUM($P17:EL17))*100%/(180-EL$4))</f>
        <v>#VALUE!</v>
      </c>
      <c r="EN17" s="21" t="e">
        <f ca="1">IF($C17&gt;EN$4,SUMIFS([1]销售表!$J:$J,[1]销售表!$I:$I,$A17,[1]销售表!$B:$B,EN$4),($L17-SUM($P17:EM17))*100%/(180-EM$4))</f>
        <v>#VALUE!</v>
      </c>
      <c r="EO17" s="21" t="e">
        <f ca="1">IF($C17&gt;EO$4,SUMIFS([1]销售表!$J:$J,[1]销售表!$I:$I,$A17,[1]销售表!$B:$B,EO$4),($L17-SUM($P17:EN17))*100%/(180-EN$4))</f>
        <v>#VALUE!</v>
      </c>
      <c r="EP17" s="21" t="e">
        <f ca="1">IF($C17&gt;EP$4,SUMIFS([1]销售表!$J:$J,[1]销售表!$I:$I,$A17,[1]销售表!$B:$B,EP$4),($L17-SUM($P17:EO17))*100%/(180-EO$4))</f>
        <v>#VALUE!</v>
      </c>
      <c r="EQ17" s="21" t="e">
        <f ca="1">IF($C17&gt;EQ$4,SUMIFS([1]销售表!$J:$J,[1]销售表!$I:$I,$A17,[1]销售表!$B:$B,EQ$4),($L17-SUM($P17:EP17))*100%/(180-EP$4))</f>
        <v>#VALUE!</v>
      </c>
      <c r="ER17" s="21" t="e">
        <f ca="1">IF($C17&gt;ER$4,SUMIFS([1]销售表!$J:$J,[1]销售表!$I:$I,$A17,[1]销售表!$B:$B,ER$4),($L17-SUM($P17:EQ17))*100%/(180-EQ$4))</f>
        <v>#VALUE!</v>
      </c>
      <c r="ES17" s="21" t="e">
        <f ca="1">IF($C17&gt;ES$4,SUMIFS([1]销售表!$J:$J,[1]销售表!$I:$I,$A17,[1]销售表!$B:$B,ES$4),($L17-SUM($P17:ER17))*100%/(180-ER$4))</f>
        <v>#VALUE!</v>
      </c>
      <c r="ET17" s="21" t="e">
        <f ca="1">IF($C17&gt;ET$4,SUMIFS([1]销售表!$J:$J,[1]销售表!$I:$I,$A17,[1]销售表!$B:$B,ET$4),($L17-SUM($P17:ES17))*100%/(180-ES$4))</f>
        <v>#VALUE!</v>
      </c>
      <c r="EU17" s="21" t="e">
        <f ca="1">IF($C17&gt;EU$4,SUMIFS([1]销售表!$J:$J,[1]销售表!$I:$I,$A17,[1]销售表!$B:$B,EU$4),($L17-SUM($P17:ET17))*100%/(180-ET$4))</f>
        <v>#VALUE!</v>
      </c>
      <c r="EV17" s="21" t="e">
        <f ca="1">IF($C17&gt;EV$4,SUMIFS([1]销售表!$J:$J,[1]销售表!$I:$I,$A17,[1]销售表!$B:$B,EV$4),($L17-SUM($P17:EU17))*100%/(180-EU$4))</f>
        <v>#VALUE!</v>
      </c>
      <c r="EW17" s="21" t="e">
        <f ca="1">IF($C17&gt;EW$4,SUMIFS([1]销售表!$J:$J,[1]销售表!$I:$I,$A17,[1]销售表!$B:$B,EW$4),($L17-SUM($P17:EV17))*100%/(180-EV$4))</f>
        <v>#VALUE!</v>
      </c>
      <c r="EX17" s="21" t="e">
        <f ca="1">IF($C17&gt;EX$4,SUMIFS([1]销售表!$J:$J,[1]销售表!$I:$I,$A17,[1]销售表!$B:$B,EX$4),($L17-SUM($P17:EW17))*100%/(180-EW$4))</f>
        <v>#VALUE!</v>
      </c>
      <c r="EY17" s="21" t="e">
        <f ca="1">IF($C17&gt;EY$4,SUMIFS([1]销售表!$J:$J,[1]销售表!$I:$I,$A17,[1]销售表!$B:$B,EY$4),($L17-SUM($P17:EX17))*100%/(180-EX$4))</f>
        <v>#VALUE!</v>
      </c>
      <c r="EZ17" s="21" t="e">
        <f ca="1">IF($C17&gt;EZ$4,SUMIFS([1]销售表!$J:$J,[1]销售表!$I:$I,$A17,[1]销售表!$B:$B,EZ$4),($L17-SUM($P17:EY17))*100%/(180-EY$4))</f>
        <v>#VALUE!</v>
      </c>
      <c r="FA17" s="21" t="e">
        <f ca="1">IF($C17&gt;FA$4,SUMIFS([1]销售表!$J:$J,[1]销售表!$I:$I,$A17,[1]销售表!$B:$B,FA$4),($L17-SUM($P17:EZ17))*100%/(180-EZ$4))</f>
        <v>#VALUE!</v>
      </c>
      <c r="FB17" s="21" t="e">
        <f ca="1">IF($C17&gt;FB$4,SUMIFS([1]销售表!$J:$J,[1]销售表!$I:$I,$A17,[1]销售表!$B:$B,FB$4),($L17-SUM($P17:FA17))*100%/(180-FA$4))</f>
        <v>#VALUE!</v>
      </c>
      <c r="FC17" s="21" t="e">
        <f ca="1">IF($C17&gt;FC$4,SUMIFS([1]销售表!$J:$J,[1]销售表!$I:$I,$A17,[1]销售表!$B:$B,FC$4),($L17-SUM($P17:FB17))*100%/(180-FB$4))</f>
        <v>#VALUE!</v>
      </c>
      <c r="FD17" s="21" t="e">
        <f ca="1">IF($C17&gt;FD$4,SUMIFS([1]销售表!$J:$J,[1]销售表!$I:$I,$A17,[1]销售表!$B:$B,FD$4),($L17-SUM($P17:FC17))*100%/(180-FC$4))</f>
        <v>#VALUE!</v>
      </c>
      <c r="FE17" s="21" t="e">
        <f ca="1">IF($C17&gt;FE$4,SUMIFS([1]销售表!$J:$J,[1]销售表!$I:$I,$A17,[1]销售表!$B:$B,FE$4),($L17-SUM($P17:FD17))*100%/(180-FD$4))</f>
        <v>#VALUE!</v>
      </c>
      <c r="FF17" s="21" t="e">
        <f ca="1">IF($C17&gt;FF$4,SUMIFS([1]销售表!$J:$J,[1]销售表!$I:$I,$A17,[1]销售表!$B:$B,FF$4),($L17-SUM($P17:FE17))*100%/(180-FE$4))</f>
        <v>#VALUE!</v>
      </c>
      <c r="FG17" s="21" t="e">
        <f ca="1">IF($C17&gt;FG$4,SUMIFS([1]销售表!$J:$J,[1]销售表!$I:$I,$A17,[1]销售表!$B:$B,FG$4),($L17-SUM($P17:FF17))*100%/(180-FF$4))</f>
        <v>#VALUE!</v>
      </c>
      <c r="FH17" s="21" t="e">
        <f ca="1">IF($C17&gt;FH$4,SUMIFS([1]销售表!$J:$J,[1]销售表!$I:$I,$A17,[1]销售表!$B:$B,FH$4),($L17-SUM($P17:FG17))*100%/(180-FG$4))</f>
        <v>#VALUE!</v>
      </c>
      <c r="FI17" s="21" t="e">
        <f ca="1">IF($C17&gt;FI$4,SUMIFS([1]销售表!$J:$J,[1]销售表!$I:$I,$A17,[1]销售表!$B:$B,FI$4),($L17-SUM($P17:FH17))*100%/(180-FH$4))</f>
        <v>#VALUE!</v>
      </c>
      <c r="FJ17" s="21" t="e">
        <f ca="1">IF($C17&gt;FJ$4,SUMIFS([1]销售表!$J:$J,[1]销售表!$I:$I,$A17,[1]销售表!$B:$B,FJ$4),($L17-SUM($P17:FI17))*100%/(180-FI$4))</f>
        <v>#VALUE!</v>
      </c>
      <c r="FK17" s="21" t="e">
        <f ca="1">IF($C17&gt;FK$4,SUMIFS([1]销售表!$J:$J,[1]销售表!$I:$I,$A17,[1]销售表!$B:$B,FK$4),($L17-SUM($P17:FJ17))*100%/(180-FJ$4))</f>
        <v>#VALUE!</v>
      </c>
      <c r="FL17" s="21" t="e">
        <f ca="1">IF($C17&gt;FL$4,SUMIFS([1]销售表!$J:$J,[1]销售表!$I:$I,$A17,[1]销售表!$B:$B,FL$4),($L17-SUM($P17:FK17))*100%/(180-FK$4))</f>
        <v>#VALUE!</v>
      </c>
      <c r="FM17" s="21" t="e">
        <f ca="1">IF($C17&gt;FM$4,SUMIFS([1]销售表!$J:$J,[1]销售表!$I:$I,$A17,[1]销售表!$B:$B,FM$4),($L17-SUM($P17:FL17))*100%/(180-FL$4))</f>
        <v>#VALUE!</v>
      </c>
      <c r="FN17" s="21" t="e">
        <f ca="1">IF($C17&gt;FN$4,SUMIFS([1]销售表!$J:$J,[1]销售表!$I:$I,$A17,[1]销售表!$B:$B,FN$4),($L17-SUM($P17:FM17))*100%/(180-FM$4))</f>
        <v>#VALUE!</v>
      </c>
      <c r="FO17" s="21" t="e">
        <f ca="1">IF($C17&gt;FO$4,SUMIFS([1]销售表!$J:$J,[1]销售表!$I:$I,$A17,[1]销售表!$B:$B,FO$4),($L17-SUM($P17:FN17))*100%/(180-FN$4))</f>
        <v>#VALUE!</v>
      </c>
      <c r="FP17" s="21" t="e">
        <f ca="1">IF($C17&gt;FP$4,SUMIFS([1]销售表!$J:$J,[1]销售表!$I:$I,$A17,[1]销售表!$B:$B,FP$4),($L17-SUM($P17:FO17))*100%/(180-FO$4))</f>
        <v>#VALUE!</v>
      </c>
      <c r="FQ17" s="21" t="e">
        <f ca="1">IF($C17&gt;FQ$4,SUMIFS([1]销售表!$J:$J,[1]销售表!$I:$I,$A17,[1]销售表!$B:$B,FQ$4),($L17-SUM($P17:FP17))*100%/(180-FP$4))</f>
        <v>#VALUE!</v>
      </c>
      <c r="FR17" s="21" t="e">
        <f ca="1">IF($C17&gt;FR$4,SUMIFS([1]销售表!$J:$J,[1]销售表!$I:$I,$A17,[1]销售表!$B:$B,FR$4),($L17-SUM($P17:FQ17))*100%/(180-FQ$4))</f>
        <v>#VALUE!</v>
      </c>
      <c r="FS17" s="21" t="e">
        <f ca="1">IF($C17&gt;FS$4,SUMIFS([1]销售表!$J:$J,[1]销售表!$I:$I,$A17,[1]销售表!$B:$B,FS$4),($L17-SUM($P17:FR17))*100%/(180-FR$4))</f>
        <v>#VALUE!</v>
      </c>
      <c r="FT17" s="21" t="e">
        <f ca="1">IF($C17&gt;FT$4,SUMIFS([1]销售表!$J:$J,[1]销售表!$I:$I,$A17,[1]销售表!$B:$B,FT$4),($L17-SUM($P17:FS17))*100%/(180-FS$4))</f>
        <v>#VALUE!</v>
      </c>
      <c r="FU17" s="21" t="e">
        <f ca="1">IF($C17&gt;FU$4,SUMIFS([1]销售表!$J:$J,[1]销售表!$I:$I,$A17,[1]销售表!$B:$B,FU$4),($L17-SUM($P17:FT17))*100%/(180-FT$4))</f>
        <v>#VALUE!</v>
      </c>
      <c r="FV17" s="21" t="e">
        <f ca="1">IF($C17&gt;FV$4,SUMIFS([1]销售表!$J:$J,[1]销售表!$I:$I,$A17,[1]销售表!$B:$B,FV$4),($L17-SUM($P17:FU17))*100%/(180-FU$4))</f>
        <v>#VALUE!</v>
      </c>
      <c r="FW17" s="21" t="e">
        <f ca="1">IF($C17&gt;FW$4,SUMIFS([1]销售表!$J:$J,[1]销售表!$I:$I,$A17,[1]销售表!$B:$B,FW$4),($L17-SUM($P17:FV17))*100%/(180-FV$4))</f>
        <v>#VALUE!</v>
      </c>
      <c r="FX17" s="21" t="e">
        <f ca="1">IF($C17&gt;FX$4,SUMIFS([1]销售表!$J:$J,[1]销售表!$I:$I,$A17,[1]销售表!$B:$B,FX$4),($L17-SUM($P17:FW17))*100%/(180-FW$4))</f>
        <v>#VALUE!</v>
      </c>
      <c r="FY17" s="21" t="e">
        <f ca="1">IF($C17&gt;FY$4,SUMIFS([1]销售表!$J:$J,[1]销售表!$I:$I,$A17,[1]销售表!$B:$B,FY$4),($L17-SUM($P17:FX17))*100%/(180-FX$4))</f>
        <v>#VALUE!</v>
      </c>
      <c r="FZ17" s="21" t="e">
        <f ca="1">IF($C17&gt;FZ$4,SUMIFS([1]销售表!$J:$J,[1]销售表!$I:$I,$A17,[1]销售表!$B:$B,FZ$4),($L17-SUM($P17:FY17))*100%/(180-FY$4))</f>
        <v>#VALUE!</v>
      </c>
      <c r="GA17" s="21" t="e">
        <f ca="1">IF($C17&gt;GA$4,SUMIFS([1]销售表!$J:$J,[1]销售表!$I:$I,$A17,[1]销售表!$B:$B,GA$4),($L17-SUM($P17:FZ17))*100%/(180-FZ$4))</f>
        <v>#VALUE!</v>
      </c>
      <c r="GB17" s="21" t="e">
        <f ca="1">IF($C17&gt;GB$4,SUMIFS([1]销售表!$J:$J,[1]销售表!$I:$I,$A17,[1]销售表!$B:$B,GB$4),($L17-SUM($P17:GA17))*100%/(180-GA$4))</f>
        <v>#VALUE!</v>
      </c>
      <c r="GC17" s="21" t="e">
        <f ca="1">IF($C17&gt;GC$4,SUMIFS([1]销售表!$J:$J,[1]销售表!$I:$I,$A17,[1]销售表!$B:$B,GC$4),($L17-SUM($P17:GB17))*100%/(180-GB$4))</f>
        <v>#VALUE!</v>
      </c>
      <c r="GD17" s="21" t="e">
        <f ca="1">IF($C17&gt;GD$4,SUMIFS([1]销售表!$J:$J,[1]销售表!$I:$I,$A17,[1]销售表!$B:$B,GD$4),($L17-SUM($P17:GC17))*100%/(180-GC$4))</f>
        <v>#VALUE!</v>
      </c>
      <c r="GE17" s="21" t="e">
        <f ca="1">IF($C17&gt;GE$4,SUMIFS([1]销售表!$J:$J,[1]销售表!$I:$I,$A17,[1]销售表!$B:$B,GE$4),($L17-SUM($P17:GD17))*100%/(180-GD$4))</f>
        <v>#VALUE!</v>
      </c>
      <c r="GF17" s="21" t="e">
        <f ca="1">IF($C17&gt;GF$4,SUMIFS([1]销售表!$J:$J,[1]销售表!$I:$I,$A17,[1]销售表!$B:$B,GF$4),($L17-SUM($P17:GE17))*100%/(180-GE$4))</f>
        <v>#VALUE!</v>
      </c>
      <c r="GG17" s="21" t="e">
        <f ca="1">IF($C17&gt;GG$4,SUMIFS([1]销售表!$J:$J,[1]销售表!$I:$I,$A17,[1]销售表!$B:$B,GG$4),($L17-SUM($P17:GF17))*100%/(180-GF$4))</f>
        <v>#VALUE!</v>
      </c>
      <c r="GH17" s="21" t="e">
        <f ca="1">IF($C17&gt;GH$4,SUMIFS([1]销售表!$J:$J,[1]销售表!$I:$I,$A17,[1]销售表!$B:$B,GH$4),($L17-SUM($P17:GG17))*100%/(180-GG$4))</f>
        <v>#VALUE!</v>
      </c>
      <c r="GI17" s="21" t="e">
        <f ca="1">IF($C17&gt;GI$4,SUMIFS([1]销售表!$J:$J,[1]销售表!$I:$I,$A17,[1]销售表!$B:$B,GI$4),($L17-SUM($P17:GH17))*100%/(180-GH$4))</f>
        <v>#VALUE!</v>
      </c>
      <c r="GJ17" s="21" t="e">
        <f ca="1">IF($C17&gt;GJ$4,SUMIFS([1]销售表!$J:$J,[1]销售表!$I:$I,$A17,[1]销售表!$B:$B,GJ$4),($L17-SUM($P17:GI17))*100%/(180-GI$4))</f>
        <v>#VALUE!</v>
      </c>
      <c r="GK17" s="21" t="e">
        <f ca="1">IF($C17&gt;GK$4,SUMIFS([1]销售表!$J:$J,[1]销售表!$I:$I,$A17,[1]销售表!$B:$B,GK$4),($L17-SUM($P17:GJ17))*100%/(180-GJ$4))</f>
        <v>#VALUE!</v>
      </c>
      <c r="GL17" s="21" t="e">
        <f ca="1">IF($C17&gt;GL$4,SUMIFS([1]销售表!$J:$J,[1]销售表!$I:$I,$A17,[1]销售表!$B:$B,GL$4),($L17-SUM($P17:GK17))*100%/(180-GK$4))</f>
        <v>#VALUE!</v>
      </c>
      <c r="GM17" s="21" t="e">
        <f ca="1">IF($C17&gt;GM$4,SUMIFS([1]销售表!$J:$J,[1]销售表!$I:$I,$A17,[1]销售表!$B:$B,GM$4),($L17-SUM($P17:GL17))*100%/(180-GL$4))</f>
        <v>#VALUE!</v>
      </c>
    </row>
    <row r="18" spans="1:195" x14ac:dyDescent="0.25">
      <c r="A18" s="8"/>
      <c r="B18" s="7"/>
      <c r="C18" s="8">
        <f t="shared" ca="1" si="18"/>
        <v>46198</v>
      </c>
      <c r="D18" s="8"/>
      <c r="E18" s="8">
        <f t="shared" si="16"/>
        <v>0</v>
      </c>
      <c r="F18" s="8"/>
      <c r="G18" s="8"/>
      <c r="H18" s="9" t="e">
        <f t="shared" si="17"/>
        <v>#DIV/0!</v>
      </c>
      <c r="I18" s="8"/>
      <c r="J18" s="8">
        <f>SUMIFS([1]销售表!J:J,[1]销售表!I:I,A18,[1]销售表!E:E,"可取")</f>
        <v>0</v>
      </c>
      <c r="K18" s="8"/>
      <c r="L18" s="8"/>
      <c r="M18" s="10">
        <f>_xlfn.XLOOKUP(A18,[1]销售表!I:I,[1]销售表!J:J,0,0,-1)</f>
        <v>0</v>
      </c>
      <c r="N18" s="10" t="str" cm="1">
        <f t="array" ref="N18" ca="1">IF(C18&gt;180,"0",INDEX(P18:GM18,C18))</f>
        <v>0</v>
      </c>
      <c r="O18" s="20"/>
      <c r="P18" s="21">
        <f>SUMIFS([1]销售表!J:J,[1]销售表!I:I,A18,[1]销售表!B:B,$P$4)</f>
        <v>0</v>
      </c>
      <c r="Q18" s="21" t="e">
        <f ca="1">IF($C18&gt;Q$4,SUMIFS([1]销售表!$J:$J,[1]销售表!$I:$I,$A18,[1]销售表!$B:$B,Q$4),($L18-SUM($P18))*80%/(180-P$4))</f>
        <v>#VALUE!</v>
      </c>
      <c r="R18" s="21" t="e">
        <f ca="1">IF($C18&gt;R$4,SUMIFS([1]销售表!$J:$J,[1]销售表!$I:$I,$A18,[1]销售表!$B:$B,R$4),($L18-SUM($P18:Q18))*80%/(180-Q$4))</f>
        <v>#VALUE!</v>
      </c>
      <c r="S18" s="21" t="e">
        <f ca="1">IF($C18&gt;S$4,SUMIFS([1]销售表!$J:$J,[1]销售表!$I:$I,$A18,[1]销售表!$B:$B,S$4),($L18-SUM($P18:R18))*80%/(180-R$4))</f>
        <v>#VALUE!</v>
      </c>
      <c r="T18" s="21" t="e">
        <f ca="1">IF($C18&gt;T$4,SUMIFS([1]销售表!$J:$J,[1]销售表!$I:$I,$A18,[1]销售表!$B:$B,T$4),($L18-SUM($P18:S18))*80%/(180-S$4))</f>
        <v>#VALUE!</v>
      </c>
      <c r="U18" s="21" t="e">
        <f ca="1">IF($C18&gt;U$4,SUMIFS([1]销售表!$J:$J,[1]销售表!$I:$I,$A18,[1]销售表!$B:$B,U$4),($L18-SUM($P18:T18))*80%/(180-T$4))</f>
        <v>#VALUE!</v>
      </c>
      <c r="V18" s="21" t="e">
        <f ca="1">IF($C18&gt;V$4,SUMIFS([1]销售表!$J:$J,[1]销售表!$I:$I,$A18,[1]销售表!$B:$B,V$4),($L18-SUM($P18:U18))*80%/(180-U$4))</f>
        <v>#VALUE!</v>
      </c>
      <c r="W18" s="21" t="e">
        <f ca="1">IF($C18&gt;W$4,SUMIFS([1]销售表!$J:$J,[1]销售表!$I:$I,$A18,[1]销售表!$B:$B,W$4),($L18-SUM($P18:V18))*80%/(180-V$4))</f>
        <v>#VALUE!</v>
      </c>
      <c r="X18" s="21" t="e">
        <f ca="1">IF($C18&gt;X$4,SUMIFS([1]销售表!$J:$J,[1]销售表!$I:$I,$A18,[1]销售表!$B:$B,X$4),($L18-SUM($P18:W18))*80%/(180-W$4))</f>
        <v>#VALUE!</v>
      </c>
      <c r="Y18" s="21" t="e">
        <f ca="1">IF($C18&gt;Y$4,SUMIFS([1]销售表!$J:$J,[1]销售表!$I:$I,$A18,[1]销售表!$B:$B,Y$4),($L18-SUM($P18:X18))*80%/(180-X$4))</f>
        <v>#VALUE!</v>
      </c>
      <c r="Z18" s="21" t="e">
        <f ca="1">IF($C18&gt;Z$4,SUMIFS([1]销售表!$J:$J,[1]销售表!$I:$I,$A18,[1]销售表!$B:$B,Z$4),($L18-SUM($P18:Y18))*80%/(180-Y$4))</f>
        <v>#VALUE!</v>
      </c>
      <c r="AA18" s="21" t="e">
        <f ca="1">IF($C18&gt;AA$4,SUMIFS([1]销售表!$J:$J,[1]销售表!$I:$I,$A18,[1]销售表!$B:$B,AA$4),($L18-SUM($P18:Z18))*80%/(180-Z$4))</f>
        <v>#VALUE!</v>
      </c>
      <c r="AB18" s="21" t="e">
        <f ca="1">IF($C18&gt;AB$4,SUMIFS([1]销售表!$J:$J,[1]销售表!$I:$I,$A18,[1]销售表!$B:$B,AB$4),($L18-SUM($P18:AA18))*80%/(180-AA$4))</f>
        <v>#VALUE!</v>
      </c>
      <c r="AC18" s="21" t="e">
        <f ca="1">IF($C18&gt;AC$4,SUMIFS([1]销售表!$J:$J,[1]销售表!$I:$I,$A18,[1]销售表!$B:$B,AC$4),($L18-SUM($P18:AB18))*80%/(180-AB$4))</f>
        <v>#VALUE!</v>
      </c>
      <c r="AD18" s="21" t="e">
        <f ca="1">IF($C18&gt;AD$4,SUMIFS([1]销售表!$J:$J,[1]销售表!$I:$I,$A18,[1]销售表!$B:$B,AD$4),($L18-SUM($P18:AC18))*80%/(180-AC$4))</f>
        <v>#VALUE!</v>
      </c>
      <c r="AE18" s="21" t="e">
        <f ca="1">IF($C18&gt;AE$4,SUMIFS([1]销售表!$J:$J,[1]销售表!$I:$I,$A18,[1]销售表!$B:$B,AE$4),($L18-SUM($P18:AD18))*80%/(180-AD$4))</f>
        <v>#VALUE!</v>
      </c>
      <c r="AF18" s="21" t="e">
        <f ca="1">IF($C18&gt;AF$4,SUMIFS([1]销售表!$J:$J,[1]销售表!$I:$I,$A18,[1]销售表!$B:$B,AF$4),($L18-SUM($P18:AE18))*80%/(180-AE$4))</f>
        <v>#VALUE!</v>
      </c>
      <c r="AG18" s="21" t="e">
        <f ca="1">IF($C18&gt;AG$4,SUMIFS([1]销售表!$J:$J,[1]销售表!$I:$I,$A18,[1]销售表!$B:$B,AG$4),($L18-SUM($P18:AF18))*80%/(180-AF$4))</f>
        <v>#VALUE!</v>
      </c>
      <c r="AH18" s="21" t="e">
        <f ca="1">IF($C18&gt;AH$4,SUMIFS([1]销售表!$J:$J,[1]销售表!$I:$I,$A18,[1]销售表!$B:$B,AH$4),($L18-SUM($P18:AG18))*80%/(180-AG$4))</f>
        <v>#VALUE!</v>
      </c>
      <c r="AI18" s="21" t="e">
        <f ca="1">IF($C18&gt;AI$4,SUMIFS([1]销售表!$J:$J,[1]销售表!$I:$I,$A18,[1]销售表!$B:$B,AI$4),($L18-SUM($P18:AH18))*80%/(180-AH$4))</f>
        <v>#VALUE!</v>
      </c>
      <c r="AJ18" s="21" t="e">
        <f ca="1">IF($C18&gt;AJ$4,SUMIFS([1]销售表!$J:$J,[1]销售表!$I:$I,$A18,[1]销售表!$B:$B,AJ$4),($L18-SUM($P18:AI18))*80%/(180-AI$4))</f>
        <v>#VALUE!</v>
      </c>
      <c r="AK18" s="21" t="e">
        <f ca="1">IF($C18&gt;AK$4,SUMIFS([1]销售表!$J:$J,[1]销售表!$I:$I,$A18,[1]销售表!$B:$B,AK$4),($L18-SUM($P18:AJ18))*80%/(180-AJ$4))</f>
        <v>#VALUE!</v>
      </c>
      <c r="AL18" s="21" t="e">
        <f ca="1">IF($C18&gt;AL$4,SUMIFS([1]销售表!$J:$J,[1]销售表!$I:$I,$A18,[1]销售表!$B:$B,AL$4),($L18-SUM($P18:AK18))*80%/(180-AK$4))</f>
        <v>#VALUE!</v>
      </c>
      <c r="AM18" s="21" t="e">
        <f ca="1">IF($C18&gt;AM$4,SUMIFS([1]销售表!$J:$J,[1]销售表!$I:$I,$A18,[1]销售表!$B:$B,AM$4),($L18-SUM($P18:AL18))*80%/(180-AL$4))</f>
        <v>#VALUE!</v>
      </c>
      <c r="AN18" s="21" t="e">
        <f ca="1">IF($C18&gt;AN$4,SUMIFS([1]销售表!$J:$J,[1]销售表!$I:$I,$A18,[1]销售表!$B:$B,AN$4),($L18-SUM($P18:AM18))*80%/(180-AM$4))</f>
        <v>#VALUE!</v>
      </c>
      <c r="AO18" s="21" t="e">
        <f ca="1">IF($C18&gt;AO$4,SUMIFS([1]销售表!$J:$J,[1]销售表!$I:$I,$A18,[1]销售表!$B:$B,AO$4),($L18-SUM($P18:AN18))*80%/(180-AN$4))</f>
        <v>#VALUE!</v>
      </c>
      <c r="AP18" s="21" t="e">
        <f ca="1">IF($C18&gt;AP$4,SUMIFS([1]销售表!$J:$J,[1]销售表!$I:$I,$A18,[1]销售表!$B:$B,AP$4),($L18-SUM($P18:AO18))*80%/(180-AO$4))</f>
        <v>#VALUE!</v>
      </c>
      <c r="AQ18" s="21" t="e">
        <f ca="1">IF($C18&gt;AQ$4,SUMIFS([1]销售表!$J:$J,[1]销售表!$I:$I,$A18,[1]销售表!$B:$B,AQ$4),($L18-SUM($P18:AP18))*80%/(180-AP$4))</f>
        <v>#VALUE!</v>
      </c>
      <c r="AR18" s="21" t="e">
        <f ca="1">IF($C18&gt;AR$4,SUMIFS([1]销售表!$J:$J,[1]销售表!$I:$I,$A18,[1]销售表!$B:$B,AR$4),($L18-SUM($P18:AQ18))*80%/(180-AQ$4))</f>
        <v>#VALUE!</v>
      </c>
      <c r="AS18" s="21" t="e">
        <f ca="1">IF($C18&gt;AS$4,SUMIFS([1]销售表!$J:$J,[1]销售表!$I:$I,$A18,[1]销售表!$B:$B,AS$4),($L18-SUM($P18:AR18))*80%/(180-AR$4))</f>
        <v>#VALUE!</v>
      </c>
      <c r="AT18" s="21" t="e">
        <f ca="1">IF($C18&gt;AT$4,SUMIFS([1]销售表!$J:$J,[1]销售表!$I:$I,$A18,[1]销售表!$B:$B,AT$4),($L18-SUM($P18:AS18))*110%/(180-AS$4))</f>
        <v>#VALUE!</v>
      </c>
      <c r="AU18" s="21" t="e">
        <f ca="1">IF($C18&gt;AU$4,SUMIFS([1]销售表!$J:$J,[1]销售表!$I:$I,$A18,[1]销售表!$B:$B,AU$4),($L18-SUM($P18:AT18))*110%/(180-AT$4))</f>
        <v>#VALUE!</v>
      </c>
      <c r="AV18" s="21" t="e">
        <f ca="1">IF($C18&gt;AV$4,SUMIFS([1]销售表!$J:$J,[1]销售表!$I:$I,$A18,[1]销售表!$B:$B,AV$4),($L18-SUM($P18:AU18))*110%/(180-AU$4))</f>
        <v>#VALUE!</v>
      </c>
      <c r="AW18" s="21" t="e">
        <f ca="1">IF($C18&gt;AW$4,SUMIFS([1]销售表!$J:$J,[1]销售表!$I:$I,$A18,[1]销售表!$B:$B,AW$4),($L18-SUM($P18:AV18))*110%/(180-AV$4))</f>
        <v>#VALUE!</v>
      </c>
      <c r="AX18" s="21" t="e">
        <f ca="1">IF($C18&gt;AX$4,SUMIFS([1]销售表!$J:$J,[1]销售表!$I:$I,$A18,[1]销售表!$B:$B,AX$4),($L18-SUM($P18:AW18))*110%/(180-AW$4))</f>
        <v>#VALUE!</v>
      </c>
      <c r="AY18" s="21" t="e">
        <f ca="1">IF($C18&gt;AY$4,SUMIFS([1]销售表!$J:$J,[1]销售表!$I:$I,$A18,[1]销售表!$B:$B,AY$4),($L18-SUM($P18:AX18))*110%/(180-AX$4))</f>
        <v>#VALUE!</v>
      </c>
      <c r="AZ18" s="21" t="e">
        <f ca="1">IF($C18&gt;AZ$4,SUMIFS([1]销售表!$J:$J,[1]销售表!$I:$I,$A18,[1]销售表!$B:$B,AZ$4),($L18-SUM($P18:AY18))*110%/(180-AY$4))</f>
        <v>#VALUE!</v>
      </c>
      <c r="BA18" s="21" t="e">
        <f ca="1">IF($C18&gt;BA$4,SUMIFS([1]销售表!$J:$J,[1]销售表!$I:$I,$A18,[1]销售表!$B:$B,BA$4),($L18-SUM($P18:AZ18))*110%/(180-AZ$4))</f>
        <v>#VALUE!</v>
      </c>
      <c r="BB18" s="21" t="e">
        <f ca="1">IF($C18&gt;BB$4,SUMIFS([1]销售表!$J:$J,[1]销售表!$I:$I,$A18,[1]销售表!$B:$B,BB$4),($L18-SUM($P18:BA18))*110%/(180-BA$4))</f>
        <v>#VALUE!</v>
      </c>
      <c r="BC18" s="21" t="e">
        <f ca="1">IF($C18&gt;BC$4,SUMIFS([1]销售表!$J:$J,[1]销售表!$I:$I,$A18,[1]销售表!$B:$B,BC$4),($L18-SUM($P18:BB18))*110%/(180-BB$4))</f>
        <v>#VALUE!</v>
      </c>
      <c r="BD18" s="21" t="e">
        <f ca="1">IF($C18&gt;BD$4,SUMIFS([1]销售表!$J:$J,[1]销售表!$I:$I,$A18,[1]销售表!$B:$B,BD$4),($L18-SUM($P18:BC18))*110%/(180-BC$4))</f>
        <v>#VALUE!</v>
      </c>
      <c r="BE18" s="21" t="e">
        <f ca="1">IF($C18&gt;BE$4,SUMIFS([1]销售表!$J:$J,[1]销售表!$I:$I,$A18,[1]销售表!$B:$B,BE$4),($L18-SUM($P18:BD18))*110%/(180-BD$4))</f>
        <v>#VALUE!</v>
      </c>
      <c r="BF18" s="21" t="e">
        <f ca="1">IF($C18&gt;BF$4,SUMIFS([1]销售表!$J:$J,[1]销售表!$I:$I,$A18,[1]销售表!$B:$B,BF$4),($L18-SUM($P18:BE18))*110%/(180-BE$4))</f>
        <v>#VALUE!</v>
      </c>
      <c r="BG18" s="21" t="e">
        <f ca="1">IF($C18&gt;BG$4,SUMIFS([1]销售表!$J:$J,[1]销售表!$I:$I,$A18,[1]销售表!$B:$B,BG$4),($L18-SUM($P18:BF18))*110%/(180-BF$4))</f>
        <v>#VALUE!</v>
      </c>
      <c r="BH18" s="21" t="e">
        <f ca="1">IF($C18&gt;BH$4,SUMIFS([1]销售表!$J:$J,[1]销售表!$I:$I,$A18,[1]销售表!$B:$B,BH$4),($L18-SUM($P18:BG18))*110%/(180-BG$4))</f>
        <v>#VALUE!</v>
      </c>
      <c r="BI18" s="21" t="e">
        <f ca="1">IF($C18&gt;BI$4,SUMIFS([1]销售表!$J:$J,[1]销售表!$I:$I,$A18,[1]销售表!$B:$B,BI$4),($L18-SUM($P18:BH18))*110%/(180-BH$4))</f>
        <v>#VALUE!</v>
      </c>
      <c r="BJ18" s="21" t="e">
        <f ca="1">IF($C18&gt;BJ$4,SUMIFS([1]销售表!$J:$J,[1]销售表!$I:$I,$A18,[1]销售表!$B:$B,BJ$4),($L18-SUM($P18:BI18))*110%/(180-BI$4))</f>
        <v>#VALUE!</v>
      </c>
      <c r="BK18" s="21" t="e">
        <f ca="1">IF($C18&gt;BK$4,SUMIFS([1]销售表!$J:$J,[1]销售表!$I:$I,$A18,[1]销售表!$B:$B,BK$4),($L18-SUM($P18:BJ18))*110%/(180-BJ$4))</f>
        <v>#VALUE!</v>
      </c>
      <c r="BL18" s="21" t="e">
        <f ca="1">IF($C18&gt;BL$4,SUMIFS([1]销售表!$J:$J,[1]销售表!$I:$I,$A18,[1]销售表!$B:$B,BL$4),($L18-SUM($P18:BK18))*110%/(180-BK$4))</f>
        <v>#VALUE!</v>
      </c>
      <c r="BM18" s="21" t="e">
        <f ca="1">IF($C18&gt;BM$4,SUMIFS([1]销售表!$J:$J,[1]销售表!$I:$I,$A18,[1]销售表!$B:$B,BM$4),($L18-SUM($P18:BL18))*110%/(180-BL$4))</f>
        <v>#VALUE!</v>
      </c>
      <c r="BN18" s="21" t="e">
        <f ca="1">IF($C18&gt;BN$4,SUMIFS([1]销售表!$J:$J,[1]销售表!$I:$I,$A18,[1]销售表!$B:$B,BN$4),($L18-SUM($P18:BM18))*110%/(180-BM$4))</f>
        <v>#VALUE!</v>
      </c>
      <c r="BO18" s="21" t="e">
        <f ca="1">IF($C18&gt;BO$4,SUMIFS([1]销售表!$J:$J,[1]销售表!$I:$I,$A18,[1]销售表!$B:$B,BO$4),($L18-SUM($P18:BN18))*110%/(180-BN$4))</f>
        <v>#VALUE!</v>
      </c>
      <c r="BP18" s="21" t="e">
        <f ca="1">IF($C18&gt;BP$4,SUMIFS([1]销售表!$J:$J,[1]销售表!$I:$I,$A18,[1]销售表!$B:$B,BP$4),($L18-SUM($P18:BO18))*110%/(180-BO$4))</f>
        <v>#VALUE!</v>
      </c>
      <c r="BQ18" s="21" t="e">
        <f ca="1">IF($C18&gt;BQ$4,SUMIFS([1]销售表!$J:$J,[1]销售表!$I:$I,$A18,[1]销售表!$B:$B,BQ$4),($L18-SUM($P18:BP18))*110%/(180-BP$4))</f>
        <v>#VALUE!</v>
      </c>
      <c r="BR18" s="21" t="e">
        <f ca="1">IF($C18&gt;BR$4,SUMIFS([1]销售表!$J:$J,[1]销售表!$I:$I,$A18,[1]销售表!$B:$B,BR$4),($L18-SUM($P18:BQ18))*110%/(180-BQ$4))</f>
        <v>#VALUE!</v>
      </c>
      <c r="BS18" s="21" t="e">
        <f ca="1">IF($C18&gt;BS$4,SUMIFS([1]销售表!$J:$J,[1]销售表!$I:$I,$A18,[1]销售表!$B:$B,BS$4),($L18-SUM($P18:BR18))*110%/(180-BR$4))</f>
        <v>#VALUE!</v>
      </c>
      <c r="BT18" s="21" t="e">
        <f ca="1">IF($C18&gt;BT$4,SUMIFS([1]销售表!$J:$J,[1]销售表!$I:$I,$A18,[1]销售表!$B:$B,BT$4),($L18-SUM($P18:BS18))*110%/(180-BS$4))</f>
        <v>#VALUE!</v>
      </c>
      <c r="BU18" s="21" t="e">
        <f ca="1">IF($C18&gt;BU$4,SUMIFS([1]销售表!$J:$J,[1]销售表!$I:$I,$A18,[1]销售表!$B:$B,BU$4),($L18-SUM($P18:BT18))*110%/(180-BT$4))</f>
        <v>#VALUE!</v>
      </c>
      <c r="BV18" s="21" t="e">
        <f ca="1">IF($C18&gt;BV$4,SUMIFS([1]销售表!$J:$J,[1]销售表!$I:$I,$A18,[1]销售表!$B:$B,BV$4),($L18-SUM($P18:BU18))*110%/(180-BU$4))</f>
        <v>#VALUE!</v>
      </c>
      <c r="BW18" s="21" t="e">
        <f ca="1">IF($C18&gt;BW$4,SUMIFS([1]销售表!$J:$J,[1]销售表!$I:$I,$A18,[1]销售表!$B:$B,BW$4),($L18-SUM($P18:BV18))*110%/(180-BV$4))</f>
        <v>#VALUE!</v>
      </c>
      <c r="BX18" s="21" t="e">
        <f ca="1">IF($C18&gt;BX$4,SUMIFS([1]销售表!$J:$J,[1]销售表!$I:$I,$A18,[1]销售表!$B:$B,BX$4),($L18-SUM($P18:BW18))*110%/(180-BW$4))</f>
        <v>#VALUE!</v>
      </c>
      <c r="BY18" s="21" t="e">
        <f ca="1">IF($C18&gt;BY$4,SUMIFS([1]销售表!$J:$J,[1]销售表!$I:$I,$A18,[1]销售表!$B:$B,BY$4),($L18-SUM($P18:BX18))*110%/(180-BX$4))</f>
        <v>#VALUE!</v>
      </c>
      <c r="BZ18" s="21" t="e">
        <f ca="1">IF($C18&gt;BZ$4,SUMIFS([1]销售表!$J:$J,[1]销售表!$I:$I,$A18,[1]销售表!$B:$B,BZ$4),($L18-SUM($P18:BY18))*110%/(180-BY$4))</f>
        <v>#VALUE!</v>
      </c>
      <c r="CA18" s="21" t="e">
        <f ca="1">IF($C18&gt;CA$4,SUMIFS([1]销售表!$J:$J,[1]销售表!$I:$I,$A18,[1]销售表!$B:$B,CA$4),($L18-SUM($P18:BZ18))*110%/(180-BZ$4))</f>
        <v>#VALUE!</v>
      </c>
      <c r="CB18" s="21" t="e">
        <f ca="1">IF($C18&gt;CB$4,SUMIFS([1]销售表!$J:$J,[1]销售表!$I:$I,$A18,[1]销售表!$B:$B,CB$4),($L18-SUM($P18:CA18))*110%/(180-CA$4))</f>
        <v>#VALUE!</v>
      </c>
      <c r="CC18" s="21" t="e">
        <f ca="1">IF($C18&gt;CC$4,SUMIFS([1]销售表!$J:$J,[1]销售表!$I:$I,$A18,[1]销售表!$B:$B,CC$4),($L18-SUM($P18:CB18))*110%/(180-CB$4))</f>
        <v>#VALUE!</v>
      </c>
      <c r="CD18" s="21" t="e">
        <f ca="1">IF($C18&gt;CD$4,SUMIFS([1]销售表!$J:$J,[1]销售表!$I:$I,$A18,[1]销售表!$B:$B,CD$4),($L18-SUM($P18:CC18))*110%/(180-CC$4))</f>
        <v>#VALUE!</v>
      </c>
      <c r="CE18" s="21" t="e">
        <f ca="1">IF($C18&gt;CE$4,SUMIFS([1]销售表!$J:$J,[1]销售表!$I:$I,$A18,[1]销售表!$B:$B,CE$4),($L18-SUM($P18:CD18))*110%/(180-CD$4))</f>
        <v>#VALUE!</v>
      </c>
      <c r="CF18" s="21" t="e">
        <f ca="1">IF($C18&gt;CF$4,SUMIFS([1]销售表!$J:$J,[1]销售表!$I:$I,$A18,[1]销售表!$B:$B,CF$4),($L18-SUM($P18:CE18))*110%/(180-CE$4))</f>
        <v>#VALUE!</v>
      </c>
      <c r="CG18" s="21" t="e">
        <f ca="1">IF($C18&gt;CG$4,SUMIFS([1]销售表!$J:$J,[1]销售表!$I:$I,$A18,[1]销售表!$B:$B,CG$4),($L18-SUM($P18:CF18))*110%/(180-CF$4))</f>
        <v>#VALUE!</v>
      </c>
      <c r="CH18" s="21" t="e">
        <f ca="1">IF($C18&gt;CH$4,SUMIFS([1]销售表!$J:$J,[1]销售表!$I:$I,$A18,[1]销售表!$B:$B,CH$4),($L18-SUM($P18:CG18))*110%/(180-CG$4))</f>
        <v>#VALUE!</v>
      </c>
      <c r="CI18" s="21" t="e">
        <f ca="1">IF($C18&gt;CI$4,SUMIFS([1]销售表!$J:$J,[1]销售表!$I:$I,$A18,[1]销售表!$B:$B,CI$4),($L18-SUM($P18:CH18))*110%/(180-CH$4))</f>
        <v>#VALUE!</v>
      </c>
      <c r="CJ18" s="21" t="e">
        <f ca="1">IF($C18&gt;CJ$4,SUMIFS([1]销售表!$J:$J,[1]销售表!$I:$I,$A18,[1]销售表!$B:$B,CJ$4),($L18-SUM($P18:CI18))*110%/(180-CI$4))</f>
        <v>#VALUE!</v>
      </c>
      <c r="CK18" s="21" t="e">
        <f ca="1">IF($C18&gt;CK$4,SUMIFS([1]销售表!$J:$J,[1]销售表!$I:$I,$A18,[1]销售表!$B:$B,CK$4),($L18-SUM($P18:CJ18))*110%/(180-CJ$4))</f>
        <v>#VALUE!</v>
      </c>
      <c r="CL18" s="21" t="e">
        <f ca="1">IF($C18&gt;CL$4,SUMIFS([1]销售表!$J:$J,[1]销售表!$I:$I,$A18,[1]销售表!$B:$B,CL$4),($L18-SUM($P18:CK18))*110%/(180-CK$4))</f>
        <v>#VALUE!</v>
      </c>
      <c r="CM18" s="21" t="e">
        <f ca="1">IF($C18&gt;CM$4,SUMIFS([1]销售表!$J:$J,[1]销售表!$I:$I,$A18,[1]销售表!$B:$B,CM$4),($L18-SUM($P18:CL18))*110%/(180-CL$4))</f>
        <v>#VALUE!</v>
      </c>
      <c r="CN18" s="21" t="e">
        <f ca="1">IF($C18&gt;CN$4,SUMIFS([1]销售表!$J:$J,[1]销售表!$I:$I,$A18,[1]销售表!$B:$B,CN$4),($L18-SUM($P18:CM18))*110%/(180-CM$4))</f>
        <v>#VALUE!</v>
      </c>
      <c r="CO18" s="21" t="e">
        <f ca="1">IF($C18&gt;CO$4,SUMIFS([1]销售表!$J:$J,[1]销售表!$I:$I,$A18,[1]销售表!$B:$B,CO$4),($L18-SUM($P18:CN18))*110%/(180-CN$4))</f>
        <v>#VALUE!</v>
      </c>
      <c r="CP18" s="21" t="e">
        <f ca="1">IF($C18&gt;CP$4,SUMIFS([1]销售表!$J:$J,[1]销售表!$I:$I,$A18,[1]销售表!$B:$B,CP$4),($L18-SUM($P18:CO18))*110%/(180-CO$4))</f>
        <v>#VALUE!</v>
      </c>
      <c r="CQ18" s="21" t="e">
        <f ca="1">IF($C18&gt;CQ$4,SUMIFS([1]销售表!$J:$J,[1]销售表!$I:$I,$A18,[1]销售表!$B:$B,CQ$4),($L18-SUM($P18:CP18))*110%/(180-CP$4))</f>
        <v>#VALUE!</v>
      </c>
      <c r="CR18" s="21" t="e">
        <f ca="1">IF($C18&gt;CR$4,SUMIFS([1]销售表!$J:$J,[1]销售表!$I:$I,$A18,[1]销售表!$B:$B,CR$4),($L18-SUM($P18:CQ18))*110%/(180-CQ$4))</f>
        <v>#VALUE!</v>
      </c>
      <c r="CS18" s="21" t="e">
        <f ca="1">IF($C18&gt;CS$4,SUMIFS([1]销售表!$J:$J,[1]销售表!$I:$I,$A18,[1]销售表!$B:$B,CS$4),($L18-SUM($P18:CR18))*110%/(180-CR$4))</f>
        <v>#VALUE!</v>
      </c>
      <c r="CT18" s="21" t="e">
        <f ca="1">IF($C18&gt;CT$4,SUMIFS([1]销售表!$J:$J,[1]销售表!$I:$I,$A18,[1]销售表!$B:$B,CT$4),($L18-SUM($P18:CS18))*110%/(180-CS$4))</f>
        <v>#VALUE!</v>
      </c>
      <c r="CU18" s="21" t="e">
        <f ca="1">IF($C18&gt;CU$4,SUMIFS([1]销售表!$J:$J,[1]销售表!$I:$I,$A18,[1]销售表!$B:$B,CU$4),($L18-SUM($P18:CT18))*110%/(180-CT$4))</f>
        <v>#VALUE!</v>
      </c>
      <c r="CV18" s="21" t="e">
        <f ca="1">IF($C18&gt;CV$4,SUMIFS([1]销售表!$J:$J,[1]销售表!$I:$I,$A18,[1]销售表!$B:$B,CV$4),($L18-SUM($P18:CU18))*110%/(180-CU$4))</f>
        <v>#VALUE!</v>
      </c>
      <c r="CW18" s="21" t="e">
        <f ca="1">IF($C18&gt;CW$4,SUMIFS([1]销售表!$J:$J,[1]销售表!$I:$I,$A18,[1]销售表!$B:$B,CW$4),($L18-SUM($P18:CV18))*110%/(180-CV$4))</f>
        <v>#VALUE!</v>
      </c>
      <c r="CX18" s="21" t="e">
        <f ca="1">IF($C18&gt;CX$4,SUMIFS([1]销售表!$J:$J,[1]销售表!$I:$I,$A18,[1]销售表!$B:$B,CX$4),($L18-SUM($P18:CW18))*110%/(180-CW$4))</f>
        <v>#VALUE!</v>
      </c>
      <c r="CY18" s="21" t="e">
        <f ca="1">IF($C18&gt;CY$4,SUMIFS([1]销售表!$J:$J,[1]销售表!$I:$I,$A18,[1]销售表!$B:$B,CY$4),($L18-SUM($P18:CX18))*110%/(180-CX$4))</f>
        <v>#VALUE!</v>
      </c>
      <c r="CZ18" s="21" t="e">
        <f ca="1">IF($C18&gt;CZ$4,SUMIFS([1]销售表!$J:$J,[1]销售表!$I:$I,$A18,[1]销售表!$B:$B,CZ$4),($L18-SUM($P18:CY18))*110%/(180-CY$4))</f>
        <v>#VALUE!</v>
      </c>
      <c r="DA18" s="21" t="e">
        <f ca="1">IF($C18&gt;DA$4,SUMIFS([1]销售表!$J:$J,[1]销售表!$I:$I,$A18,[1]销售表!$B:$B,DA$4),($L18-SUM($P18:CZ18))*110%/(180-CZ$4))</f>
        <v>#VALUE!</v>
      </c>
      <c r="DB18" s="21" t="e">
        <f ca="1">IF($C18&gt;DB$4,SUMIFS([1]销售表!$J:$J,[1]销售表!$I:$I,$A18,[1]销售表!$B:$B,DB$4),($L18-SUM($P18:DA18))*110%/(180-DA$4))</f>
        <v>#VALUE!</v>
      </c>
      <c r="DC18" s="21" t="e">
        <f ca="1">IF($C18&gt;DC$4,SUMIFS([1]销售表!$J:$J,[1]销售表!$I:$I,$A18,[1]销售表!$B:$B,DC$4),($L18-SUM($P18:DB18))*110%/(180-DB$4))</f>
        <v>#VALUE!</v>
      </c>
      <c r="DD18" s="21" t="e">
        <f ca="1">IF($C18&gt;DD$4,SUMIFS([1]销售表!$J:$J,[1]销售表!$I:$I,$A18,[1]销售表!$B:$B,DD$4),($L18-SUM($P18:DC18))*110%/(180-DC$4))</f>
        <v>#VALUE!</v>
      </c>
      <c r="DE18" s="21" t="e">
        <f ca="1">IF($C18&gt;DE$4,SUMIFS([1]销售表!$J:$J,[1]销售表!$I:$I,$A18,[1]销售表!$B:$B,DE$4),($L18-SUM($P18:DD18))*110%/(180-DD$4))</f>
        <v>#VALUE!</v>
      </c>
      <c r="DF18" s="21" t="e">
        <f ca="1">IF($C18&gt;DF$4,SUMIFS([1]销售表!$J:$J,[1]销售表!$I:$I,$A18,[1]销售表!$B:$B,DF$4),($L18-SUM($P18:DE18))*110%/(180-DE$4))</f>
        <v>#VALUE!</v>
      </c>
      <c r="DG18" s="21" t="e">
        <f ca="1">IF($C18&gt;DG$4,SUMIFS([1]销售表!$J:$J,[1]销售表!$I:$I,$A18,[1]销售表!$B:$B,DG$4),($L18-SUM($P18:DF18))*110%/(180-DF$4))</f>
        <v>#VALUE!</v>
      </c>
      <c r="DH18" s="21" t="e">
        <f ca="1">IF($C18&gt;DH$4,SUMIFS([1]销售表!$J:$J,[1]销售表!$I:$I,$A18,[1]销售表!$B:$B,DH$4),($L18-SUM($P18:DG18))*110%/(180-DG$4))</f>
        <v>#VALUE!</v>
      </c>
      <c r="DI18" s="21" t="e">
        <f ca="1">IF($C18&gt;DI$4,SUMIFS([1]销售表!$J:$J,[1]销售表!$I:$I,$A18,[1]销售表!$B:$B,DI$4),($L18-SUM($P18:DH18))*110%/(180-DH$4))</f>
        <v>#VALUE!</v>
      </c>
      <c r="DJ18" s="21" t="e">
        <f ca="1">IF($C18&gt;DJ$4,SUMIFS([1]销售表!$J:$J,[1]销售表!$I:$I,$A18,[1]销售表!$B:$B,DJ$4),($L18-SUM($P18:DI18))*110%/(180-DI$4))</f>
        <v>#VALUE!</v>
      </c>
      <c r="DK18" s="21" t="e">
        <f ca="1">IF($C18&gt;DK$4,SUMIFS([1]销售表!$J:$J,[1]销售表!$I:$I,$A18,[1]销售表!$B:$B,DK$4),($L18-SUM($P18:DJ18))*110%/(180-DJ$4))</f>
        <v>#VALUE!</v>
      </c>
      <c r="DL18" s="21" t="e">
        <f ca="1">IF($C18&gt;DL$4,SUMIFS([1]销售表!$J:$J,[1]销售表!$I:$I,$A18,[1]销售表!$B:$B,DL$4),($L18-SUM($P18:DK18))*110%/(180-DK$4))</f>
        <v>#VALUE!</v>
      </c>
      <c r="DM18" s="21" t="e">
        <f ca="1">IF($C18&gt;DM$4,SUMIFS([1]销售表!$J:$J,[1]销售表!$I:$I,$A18,[1]销售表!$B:$B,DM$4),($L18-SUM($P18:DL18))*110%/(180-DL$4))</f>
        <v>#VALUE!</v>
      </c>
      <c r="DN18" s="21" t="e">
        <f ca="1">IF($C18&gt;DN$4,SUMIFS([1]销售表!$J:$J,[1]销售表!$I:$I,$A18,[1]销售表!$B:$B,DN$4),($L18-SUM($P18:DM18))*110%/(180-DM$4))</f>
        <v>#VALUE!</v>
      </c>
      <c r="DO18" s="21" t="e">
        <f ca="1">IF($C18&gt;DO$4,SUMIFS([1]销售表!$J:$J,[1]销售表!$I:$I,$A18,[1]销售表!$B:$B,DO$4),($L18-SUM($P18:DN18))*110%/(180-DN$4))</f>
        <v>#VALUE!</v>
      </c>
      <c r="DP18" s="21" t="e">
        <f ca="1">IF($C18&gt;DP$4,SUMIFS([1]销售表!$J:$J,[1]销售表!$I:$I,$A18,[1]销售表!$B:$B,DP$4),($L18-SUM($P18:DO18))*110%/(180-DO$4))</f>
        <v>#VALUE!</v>
      </c>
      <c r="DQ18" s="21" t="e">
        <f ca="1">IF($C18&gt;DQ$4,SUMIFS([1]销售表!$J:$J,[1]销售表!$I:$I,$A18,[1]销售表!$B:$B,DQ$4),($L18-SUM($P18:DP18))*110%/(180-DP$4))</f>
        <v>#VALUE!</v>
      </c>
      <c r="DR18" s="21" t="e">
        <f ca="1">IF($C18&gt;DR$4,SUMIFS([1]销售表!$J:$J,[1]销售表!$I:$I,$A18,[1]销售表!$B:$B,DR$4),($L18-SUM($P18:DQ18))*110%/(180-DQ$4))</f>
        <v>#VALUE!</v>
      </c>
      <c r="DS18" s="21" t="e">
        <f ca="1">IF($C18&gt;DS$4,SUMIFS([1]销售表!$J:$J,[1]销售表!$I:$I,$A18,[1]销售表!$B:$B,DS$4),($L18-SUM($P18:DR18))*110%/(180-DR$4))</f>
        <v>#VALUE!</v>
      </c>
      <c r="DT18" s="21" t="e">
        <f ca="1">IF($C18&gt;DT$4,SUMIFS([1]销售表!$J:$J,[1]销售表!$I:$I,$A18,[1]销售表!$B:$B,DT$4),($L18-SUM($P18:DS18))*110%/(180-DS$4))</f>
        <v>#VALUE!</v>
      </c>
      <c r="DU18" s="21" t="e">
        <f ca="1">IF($C18&gt;DU$4,SUMIFS([1]销售表!$J:$J,[1]销售表!$I:$I,$A18,[1]销售表!$B:$B,DU$4),($L18-SUM($P18:DT18))*110%/(180-DT$4))</f>
        <v>#VALUE!</v>
      </c>
      <c r="DV18" s="21" t="e">
        <f ca="1">IF($C18&gt;DV$4,SUMIFS([1]销售表!$J:$J,[1]销售表!$I:$I,$A18,[1]销售表!$B:$B,DV$4),($L18-SUM($P18:DU18))*110%/(180-DU$4))</f>
        <v>#VALUE!</v>
      </c>
      <c r="DW18" s="21" t="e">
        <f ca="1">IF($C18&gt;DW$4,SUMIFS([1]销售表!$J:$J,[1]销售表!$I:$I,$A18,[1]销售表!$B:$B,DW$4),($L18-SUM($P18:DV18))*110%/(180-DV$4))</f>
        <v>#VALUE!</v>
      </c>
      <c r="DX18" s="21" t="e">
        <f ca="1">IF($C18&gt;DX$4,SUMIFS([1]销售表!$J:$J,[1]销售表!$I:$I,$A18,[1]销售表!$B:$B,DX$4),($L18-SUM($P18:DW18))*110%/(180-DW$4))</f>
        <v>#VALUE!</v>
      </c>
      <c r="DY18" s="21" t="e">
        <f ca="1">IF($C18&gt;DY$4,SUMIFS([1]销售表!$J:$J,[1]销售表!$I:$I,$A18,[1]销售表!$B:$B,DY$4),($L18-SUM($P18:DX18))*110%/(180-DX$4))</f>
        <v>#VALUE!</v>
      </c>
      <c r="DZ18" s="21" t="e">
        <f ca="1">IF($C18&gt;DZ$4,SUMIFS([1]销售表!$J:$J,[1]销售表!$I:$I,$A18,[1]销售表!$B:$B,DZ$4),($L18-SUM($P18:DY18))*110%/(180-DY$4))</f>
        <v>#VALUE!</v>
      </c>
      <c r="EA18" s="21" t="e">
        <f ca="1">IF($C18&gt;EA$4,SUMIFS([1]销售表!$J:$J,[1]销售表!$I:$I,$A18,[1]销售表!$B:$B,EA$4),($L18-SUM($P18:DZ18))*110%/(180-DZ$4))</f>
        <v>#VALUE!</v>
      </c>
      <c r="EB18" s="21" t="e">
        <f ca="1">IF($C18&gt;EB$4,SUMIFS([1]销售表!$J:$J,[1]销售表!$I:$I,$A18,[1]销售表!$B:$B,EB$4),($L18-SUM($P18:EA18))*110%/(180-EA$4))</f>
        <v>#VALUE!</v>
      </c>
      <c r="EC18" s="21" t="e">
        <f ca="1">IF($C18&gt;EC$4,SUMIFS([1]销售表!$J:$J,[1]销售表!$I:$I,$A18,[1]销售表!$B:$B,EC$4),($L18-SUM($P18:EB18))*110%/(180-EB$4))</f>
        <v>#VALUE!</v>
      </c>
      <c r="ED18" s="21" t="e">
        <f ca="1">IF($C18&gt;ED$4,SUMIFS([1]销售表!$J:$J,[1]销售表!$I:$I,$A18,[1]销售表!$B:$B,ED$4),($L18-SUM($P18:EC18))*110%/(180-EC$4))</f>
        <v>#VALUE!</v>
      </c>
      <c r="EE18" s="21" t="e">
        <f ca="1">IF($C18&gt;EE$4,SUMIFS([1]销售表!$J:$J,[1]销售表!$I:$I,$A18,[1]销售表!$B:$B,EE$4),($L18-SUM($P18:ED18))*110%/(180-ED$4))</f>
        <v>#VALUE!</v>
      </c>
      <c r="EF18" s="21" t="e">
        <f ca="1">IF($C18&gt;EF$4,SUMIFS([1]销售表!$J:$J,[1]销售表!$I:$I,$A18,[1]销售表!$B:$B,EF$4),($L18-SUM($P18:EE18))*100%/(180-EE$4))</f>
        <v>#VALUE!</v>
      </c>
      <c r="EG18" s="21" t="e">
        <f ca="1">IF($C18&gt;EG$4,SUMIFS([1]销售表!$J:$J,[1]销售表!$I:$I,$A18,[1]销售表!$B:$B,EG$4),($L18-SUM($P18:EF18))*100%/(180-EF$4))</f>
        <v>#VALUE!</v>
      </c>
      <c r="EH18" s="21" t="e">
        <f ca="1">IF($C18&gt;EH$4,SUMIFS([1]销售表!$J:$J,[1]销售表!$I:$I,$A18,[1]销售表!$B:$B,EH$4),($L18-SUM($P18:EG18))*100%/(180-EG$4))</f>
        <v>#VALUE!</v>
      </c>
      <c r="EI18" s="21" t="e">
        <f ca="1">IF($C18&gt;EI$4,SUMIFS([1]销售表!$J:$J,[1]销售表!$I:$I,$A18,[1]销售表!$B:$B,EI$4),($L18-SUM($P18:EH18))*100%/(180-EH$4))</f>
        <v>#VALUE!</v>
      </c>
      <c r="EJ18" s="21" t="e">
        <f ca="1">IF($C18&gt;EJ$4,SUMIFS([1]销售表!$J:$J,[1]销售表!$I:$I,$A18,[1]销售表!$B:$B,EJ$4),($L18-SUM($P18:EI18))*100%/(180-EI$4))</f>
        <v>#VALUE!</v>
      </c>
      <c r="EK18" s="21" t="e">
        <f ca="1">IF($C18&gt;EK$4,SUMIFS([1]销售表!$J:$J,[1]销售表!$I:$I,$A18,[1]销售表!$B:$B,EK$4),($L18-SUM($P18:EJ18))*100%/(180-EJ$4))</f>
        <v>#VALUE!</v>
      </c>
      <c r="EL18" s="21" t="e">
        <f ca="1">IF($C18&gt;EL$4,SUMIFS([1]销售表!$J:$J,[1]销售表!$I:$I,$A18,[1]销售表!$B:$B,EL$4),($L18-SUM($P18:EK18))*100%/(180-EK$4))</f>
        <v>#VALUE!</v>
      </c>
      <c r="EM18" s="21" t="e">
        <f ca="1">IF($C18&gt;EM$4,SUMIFS([1]销售表!$J:$J,[1]销售表!$I:$I,$A18,[1]销售表!$B:$B,EM$4),($L18-SUM($P18:EL18))*100%/(180-EL$4))</f>
        <v>#VALUE!</v>
      </c>
      <c r="EN18" s="21" t="e">
        <f ca="1">IF($C18&gt;EN$4,SUMIFS([1]销售表!$J:$J,[1]销售表!$I:$I,$A18,[1]销售表!$B:$B,EN$4),($L18-SUM($P18:EM18))*100%/(180-EM$4))</f>
        <v>#VALUE!</v>
      </c>
      <c r="EO18" s="21" t="e">
        <f ca="1">IF($C18&gt;EO$4,SUMIFS([1]销售表!$J:$J,[1]销售表!$I:$I,$A18,[1]销售表!$B:$B,EO$4),($L18-SUM($P18:EN18))*100%/(180-EN$4))</f>
        <v>#VALUE!</v>
      </c>
      <c r="EP18" s="21" t="e">
        <f ca="1">IF($C18&gt;EP$4,SUMIFS([1]销售表!$J:$J,[1]销售表!$I:$I,$A18,[1]销售表!$B:$B,EP$4),($L18-SUM($P18:EO18))*100%/(180-EO$4))</f>
        <v>#VALUE!</v>
      </c>
      <c r="EQ18" s="21" t="e">
        <f ca="1">IF($C18&gt;EQ$4,SUMIFS([1]销售表!$J:$J,[1]销售表!$I:$I,$A18,[1]销售表!$B:$B,EQ$4),($L18-SUM($P18:EP18))*100%/(180-EP$4))</f>
        <v>#VALUE!</v>
      </c>
      <c r="ER18" s="21" t="e">
        <f ca="1">IF($C18&gt;ER$4,SUMIFS([1]销售表!$J:$J,[1]销售表!$I:$I,$A18,[1]销售表!$B:$B,ER$4),($L18-SUM($P18:EQ18))*100%/(180-EQ$4))</f>
        <v>#VALUE!</v>
      </c>
      <c r="ES18" s="21" t="e">
        <f ca="1">IF($C18&gt;ES$4,SUMIFS([1]销售表!$J:$J,[1]销售表!$I:$I,$A18,[1]销售表!$B:$B,ES$4),($L18-SUM($P18:ER18))*100%/(180-ER$4))</f>
        <v>#VALUE!</v>
      </c>
      <c r="ET18" s="21" t="e">
        <f ca="1">IF($C18&gt;ET$4,SUMIFS([1]销售表!$J:$J,[1]销售表!$I:$I,$A18,[1]销售表!$B:$B,ET$4),($L18-SUM($P18:ES18))*100%/(180-ES$4))</f>
        <v>#VALUE!</v>
      </c>
      <c r="EU18" s="21" t="e">
        <f ca="1">IF($C18&gt;EU$4,SUMIFS([1]销售表!$J:$J,[1]销售表!$I:$I,$A18,[1]销售表!$B:$B,EU$4),($L18-SUM($P18:ET18))*100%/(180-ET$4))</f>
        <v>#VALUE!</v>
      </c>
      <c r="EV18" s="21" t="e">
        <f ca="1">IF($C18&gt;EV$4,SUMIFS([1]销售表!$J:$J,[1]销售表!$I:$I,$A18,[1]销售表!$B:$B,EV$4),($L18-SUM($P18:EU18))*100%/(180-EU$4))</f>
        <v>#VALUE!</v>
      </c>
      <c r="EW18" s="21" t="e">
        <f ca="1">IF($C18&gt;EW$4,SUMIFS([1]销售表!$J:$J,[1]销售表!$I:$I,$A18,[1]销售表!$B:$B,EW$4),($L18-SUM($P18:EV18))*100%/(180-EV$4))</f>
        <v>#VALUE!</v>
      </c>
      <c r="EX18" s="21" t="e">
        <f ca="1">IF($C18&gt;EX$4,SUMIFS([1]销售表!$J:$J,[1]销售表!$I:$I,$A18,[1]销售表!$B:$B,EX$4),($L18-SUM($P18:EW18))*100%/(180-EW$4))</f>
        <v>#VALUE!</v>
      </c>
      <c r="EY18" s="21" t="e">
        <f ca="1">IF($C18&gt;EY$4,SUMIFS([1]销售表!$J:$J,[1]销售表!$I:$I,$A18,[1]销售表!$B:$B,EY$4),($L18-SUM($P18:EX18))*100%/(180-EX$4))</f>
        <v>#VALUE!</v>
      </c>
      <c r="EZ18" s="21" t="e">
        <f ca="1">IF($C18&gt;EZ$4,SUMIFS([1]销售表!$J:$J,[1]销售表!$I:$I,$A18,[1]销售表!$B:$B,EZ$4),($L18-SUM($P18:EY18))*100%/(180-EY$4))</f>
        <v>#VALUE!</v>
      </c>
      <c r="FA18" s="21" t="e">
        <f ca="1">IF($C18&gt;FA$4,SUMIFS([1]销售表!$J:$J,[1]销售表!$I:$I,$A18,[1]销售表!$B:$B,FA$4),($L18-SUM($P18:EZ18))*100%/(180-EZ$4))</f>
        <v>#VALUE!</v>
      </c>
      <c r="FB18" s="21" t="e">
        <f ca="1">IF($C18&gt;FB$4,SUMIFS([1]销售表!$J:$J,[1]销售表!$I:$I,$A18,[1]销售表!$B:$B,FB$4),($L18-SUM($P18:FA18))*100%/(180-FA$4))</f>
        <v>#VALUE!</v>
      </c>
      <c r="FC18" s="21" t="e">
        <f ca="1">IF($C18&gt;FC$4,SUMIFS([1]销售表!$J:$J,[1]销售表!$I:$I,$A18,[1]销售表!$B:$B,FC$4),($L18-SUM($P18:FB18))*100%/(180-FB$4))</f>
        <v>#VALUE!</v>
      </c>
      <c r="FD18" s="21" t="e">
        <f ca="1">IF($C18&gt;FD$4,SUMIFS([1]销售表!$J:$J,[1]销售表!$I:$I,$A18,[1]销售表!$B:$B,FD$4),($L18-SUM($P18:FC18))*100%/(180-FC$4))</f>
        <v>#VALUE!</v>
      </c>
      <c r="FE18" s="21" t="e">
        <f ca="1">IF($C18&gt;FE$4,SUMIFS([1]销售表!$J:$J,[1]销售表!$I:$I,$A18,[1]销售表!$B:$B,FE$4),($L18-SUM($P18:FD18))*100%/(180-FD$4))</f>
        <v>#VALUE!</v>
      </c>
      <c r="FF18" s="21" t="e">
        <f ca="1">IF($C18&gt;FF$4,SUMIFS([1]销售表!$J:$J,[1]销售表!$I:$I,$A18,[1]销售表!$B:$B,FF$4),($L18-SUM($P18:FE18))*100%/(180-FE$4))</f>
        <v>#VALUE!</v>
      </c>
      <c r="FG18" s="21" t="e">
        <f ca="1">IF($C18&gt;FG$4,SUMIFS([1]销售表!$J:$J,[1]销售表!$I:$I,$A18,[1]销售表!$B:$B,FG$4),($L18-SUM($P18:FF18))*100%/(180-FF$4))</f>
        <v>#VALUE!</v>
      </c>
      <c r="FH18" s="21" t="e">
        <f ca="1">IF($C18&gt;FH$4,SUMIFS([1]销售表!$J:$J,[1]销售表!$I:$I,$A18,[1]销售表!$B:$B,FH$4),($L18-SUM($P18:FG18))*100%/(180-FG$4))</f>
        <v>#VALUE!</v>
      </c>
      <c r="FI18" s="21" t="e">
        <f ca="1">IF($C18&gt;FI$4,SUMIFS([1]销售表!$J:$J,[1]销售表!$I:$I,$A18,[1]销售表!$B:$B,FI$4),($L18-SUM($P18:FH18))*100%/(180-FH$4))</f>
        <v>#VALUE!</v>
      </c>
      <c r="FJ18" s="21" t="e">
        <f ca="1">IF($C18&gt;FJ$4,SUMIFS([1]销售表!$J:$J,[1]销售表!$I:$I,$A18,[1]销售表!$B:$B,FJ$4),($L18-SUM($P18:FI18))*100%/(180-FI$4))</f>
        <v>#VALUE!</v>
      </c>
      <c r="FK18" s="21" t="e">
        <f ca="1">IF($C18&gt;FK$4,SUMIFS([1]销售表!$J:$J,[1]销售表!$I:$I,$A18,[1]销售表!$B:$B,FK$4),($L18-SUM($P18:FJ18))*100%/(180-FJ$4))</f>
        <v>#VALUE!</v>
      </c>
      <c r="FL18" s="21" t="e">
        <f ca="1">IF($C18&gt;FL$4,SUMIFS([1]销售表!$J:$J,[1]销售表!$I:$I,$A18,[1]销售表!$B:$B,FL$4),($L18-SUM($P18:FK18))*100%/(180-FK$4))</f>
        <v>#VALUE!</v>
      </c>
      <c r="FM18" s="21" t="e">
        <f ca="1">IF($C18&gt;FM$4,SUMIFS([1]销售表!$J:$J,[1]销售表!$I:$I,$A18,[1]销售表!$B:$B,FM$4),($L18-SUM($P18:FL18))*100%/(180-FL$4))</f>
        <v>#VALUE!</v>
      </c>
      <c r="FN18" s="21" t="e">
        <f ca="1">IF($C18&gt;FN$4,SUMIFS([1]销售表!$J:$J,[1]销售表!$I:$I,$A18,[1]销售表!$B:$B,FN$4),($L18-SUM($P18:FM18))*100%/(180-FM$4))</f>
        <v>#VALUE!</v>
      </c>
      <c r="FO18" s="21" t="e">
        <f ca="1">IF($C18&gt;FO$4,SUMIFS([1]销售表!$J:$J,[1]销售表!$I:$I,$A18,[1]销售表!$B:$B,FO$4),($L18-SUM($P18:FN18))*100%/(180-FN$4))</f>
        <v>#VALUE!</v>
      </c>
      <c r="FP18" s="21" t="e">
        <f ca="1">IF($C18&gt;FP$4,SUMIFS([1]销售表!$J:$J,[1]销售表!$I:$I,$A18,[1]销售表!$B:$B,FP$4),($L18-SUM($P18:FO18))*100%/(180-FO$4))</f>
        <v>#VALUE!</v>
      </c>
      <c r="FQ18" s="21" t="e">
        <f ca="1">IF($C18&gt;FQ$4,SUMIFS([1]销售表!$J:$J,[1]销售表!$I:$I,$A18,[1]销售表!$B:$B,FQ$4),($L18-SUM($P18:FP18))*100%/(180-FP$4))</f>
        <v>#VALUE!</v>
      </c>
      <c r="FR18" s="21" t="e">
        <f ca="1">IF($C18&gt;FR$4,SUMIFS([1]销售表!$J:$J,[1]销售表!$I:$I,$A18,[1]销售表!$B:$B,FR$4),($L18-SUM($P18:FQ18))*100%/(180-FQ$4))</f>
        <v>#VALUE!</v>
      </c>
      <c r="FS18" s="21" t="e">
        <f ca="1">IF($C18&gt;FS$4,SUMIFS([1]销售表!$J:$J,[1]销售表!$I:$I,$A18,[1]销售表!$B:$B,FS$4),($L18-SUM($P18:FR18))*100%/(180-FR$4))</f>
        <v>#VALUE!</v>
      </c>
      <c r="FT18" s="21" t="e">
        <f ca="1">IF($C18&gt;FT$4,SUMIFS([1]销售表!$J:$J,[1]销售表!$I:$I,$A18,[1]销售表!$B:$B,FT$4),($L18-SUM($P18:FS18))*100%/(180-FS$4))</f>
        <v>#VALUE!</v>
      </c>
      <c r="FU18" s="21" t="e">
        <f ca="1">IF($C18&gt;FU$4,SUMIFS([1]销售表!$J:$J,[1]销售表!$I:$I,$A18,[1]销售表!$B:$B,FU$4),($L18-SUM($P18:FT18))*100%/(180-FT$4))</f>
        <v>#VALUE!</v>
      </c>
      <c r="FV18" s="21" t="e">
        <f ca="1">IF($C18&gt;FV$4,SUMIFS([1]销售表!$J:$J,[1]销售表!$I:$I,$A18,[1]销售表!$B:$B,FV$4),($L18-SUM($P18:FU18))*100%/(180-FU$4))</f>
        <v>#VALUE!</v>
      </c>
      <c r="FW18" s="21" t="e">
        <f ca="1">IF($C18&gt;FW$4,SUMIFS([1]销售表!$J:$J,[1]销售表!$I:$I,$A18,[1]销售表!$B:$B,FW$4),($L18-SUM($P18:FV18))*100%/(180-FV$4))</f>
        <v>#VALUE!</v>
      </c>
      <c r="FX18" s="21" t="e">
        <f ca="1">IF($C18&gt;FX$4,SUMIFS([1]销售表!$J:$J,[1]销售表!$I:$I,$A18,[1]销售表!$B:$B,FX$4),($L18-SUM($P18:FW18))*100%/(180-FW$4))</f>
        <v>#VALUE!</v>
      </c>
      <c r="FY18" s="21" t="e">
        <f ca="1">IF($C18&gt;FY$4,SUMIFS([1]销售表!$J:$J,[1]销售表!$I:$I,$A18,[1]销售表!$B:$B,FY$4),($L18-SUM($P18:FX18))*100%/(180-FX$4))</f>
        <v>#VALUE!</v>
      </c>
      <c r="FZ18" s="21" t="e">
        <f ca="1">IF($C18&gt;FZ$4,SUMIFS([1]销售表!$J:$J,[1]销售表!$I:$I,$A18,[1]销售表!$B:$B,FZ$4),($L18-SUM($P18:FY18))*100%/(180-FY$4))</f>
        <v>#VALUE!</v>
      </c>
      <c r="GA18" s="21" t="e">
        <f ca="1">IF($C18&gt;GA$4,SUMIFS([1]销售表!$J:$J,[1]销售表!$I:$I,$A18,[1]销售表!$B:$B,GA$4),($L18-SUM($P18:FZ18))*100%/(180-FZ$4))</f>
        <v>#VALUE!</v>
      </c>
      <c r="GB18" s="21" t="e">
        <f ca="1">IF($C18&gt;GB$4,SUMIFS([1]销售表!$J:$J,[1]销售表!$I:$I,$A18,[1]销售表!$B:$B,GB$4),($L18-SUM($P18:GA18))*100%/(180-GA$4))</f>
        <v>#VALUE!</v>
      </c>
      <c r="GC18" s="21" t="e">
        <f ca="1">IF($C18&gt;GC$4,SUMIFS([1]销售表!$J:$J,[1]销售表!$I:$I,$A18,[1]销售表!$B:$B,GC$4),($L18-SUM($P18:GB18))*100%/(180-GB$4))</f>
        <v>#VALUE!</v>
      </c>
      <c r="GD18" s="21" t="e">
        <f ca="1">IF($C18&gt;GD$4,SUMIFS([1]销售表!$J:$J,[1]销售表!$I:$I,$A18,[1]销售表!$B:$B,GD$4),($L18-SUM($P18:GC18))*100%/(180-GC$4))</f>
        <v>#VALUE!</v>
      </c>
      <c r="GE18" s="21" t="e">
        <f ca="1">IF($C18&gt;GE$4,SUMIFS([1]销售表!$J:$J,[1]销售表!$I:$I,$A18,[1]销售表!$B:$B,GE$4),($L18-SUM($P18:GD18))*100%/(180-GD$4))</f>
        <v>#VALUE!</v>
      </c>
      <c r="GF18" s="21" t="e">
        <f ca="1">IF($C18&gt;GF$4,SUMIFS([1]销售表!$J:$J,[1]销售表!$I:$I,$A18,[1]销售表!$B:$B,GF$4),($L18-SUM($P18:GE18))*100%/(180-GE$4))</f>
        <v>#VALUE!</v>
      </c>
      <c r="GG18" s="21" t="e">
        <f ca="1">IF($C18&gt;GG$4,SUMIFS([1]销售表!$J:$J,[1]销售表!$I:$I,$A18,[1]销售表!$B:$B,GG$4),($L18-SUM($P18:GF18))*100%/(180-GF$4))</f>
        <v>#VALUE!</v>
      </c>
      <c r="GH18" s="21" t="e">
        <f ca="1">IF($C18&gt;GH$4,SUMIFS([1]销售表!$J:$J,[1]销售表!$I:$I,$A18,[1]销售表!$B:$B,GH$4),($L18-SUM($P18:GG18))*100%/(180-GG$4))</f>
        <v>#VALUE!</v>
      </c>
      <c r="GI18" s="21" t="e">
        <f ca="1">IF($C18&gt;GI$4,SUMIFS([1]销售表!$J:$J,[1]销售表!$I:$I,$A18,[1]销售表!$B:$B,GI$4),($L18-SUM($P18:GH18))*100%/(180-GH$4))</f>
        <v>#VALUE!</v>
      </c>
      <c r="GJ18" s="21" t="e">
        <f ca="1">IF($C18&gt;GJ$4,SUMIFS([1]销售表!$J:$J,[1]销售表!$I:$I,$A18,[1]销售表!$B:$B,GJ$4),($L18-SUM($P18:GI18))*100%/(180-GI$4))</f>
        <v>#VALUE!</v>
      </c>
      <c r="GK18" s="21" t="e">
        <f ca="1">IF($C18&gt;GK$4,SUMIFS([1]销售表!$J:$J,[1]销售表!$I:$I,$A18,[1]销售表!$B:$B,GK$4),($L18-SUM($P18:GJ18))*100%/(180-GJ$4))</f>
        <v>#VALUE!</v>
      </c>
      <c r="GL18" s="21" t="e">
        <f ca="1">IF($C18&gt;GL$4,SUMIFS([1]销售表!$J:$J,[1]销售表!$I:$I,$A18,[1]销售表!$B:$B,GL$4),($L18-SUM($P18:GK18))*100%/(180-GK$4))</f>
        <v>#VALUE!</v>
      </c>
      <c r="GM18" s="21" t="e">
        <f ca="1">IF($C18&gt;GM$4,SUMIFS([1]销售表!$J:$J,[1]销售表!$I:$I,$A18,[1]销售表!$B:$B,GM$4),($L18-SUM($P18:GL18))*100%/(180-GL$4))</f>
        <v>#VALUE!</v>
      </c>
    </row>
  </sheetData>
  <autoFilter ref="A1:GM18" xr:uid="{00000000-0009-0000-0000-000001000000}"/>
  <mergeCells count="3">
    <mergeCell ref="P3:AS3"/>
    <mergeCell ref="AT3:EE3"/>
    <mergeCell ref="EF3:GM3"/>
  </mergeCells>
  <phoneticPr fontId="7" type="noConversion"/>
  <dataValidations count="1">
    <dataValidation type="list" allowBlank="1" showInputMessage="1" showErrorMessage="1" sqref="A2" xr:uid="{00000000-0002-0000-0100-000000000000}">
      <formula1>"销售计划（销售前）,销售计划（销售后）,实际销售,达成情况"</formula1>
    </dataValidation>
  </dataValidations>
  <pageMargins left="0.75" right="0.75" top="1" bottom="1" header="0.5" footer="0.5"/>
  <ignoredErrors>
    <ignoredError sqref="A7:I8 K7:P7 K8:GM8 A9:CG9 A10:P10 A11:GM11 A1:GM1 B2:GM2 A3:GM5 A6:EM6 A12:AS12 A13:P13 A14:GM21 A22:P23 R22:GM23 A24:GM27" formula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销售计划（销售后）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辜涛</cp:lastModifiedBy>
  <dcterms:created xsi:type="dcterms:W3CDTF">2026-06-11T03:06:00Z</dcterms:created>
  <dcterms:modified xsi:type="dcterms:W3CDTF">2026-06-25T03:32:30Z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FF7CF13A227341C48DDFB3F29EF08740_13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